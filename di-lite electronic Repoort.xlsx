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ff8213d5cdbf1ff/Documents/"/>
    </mc:Choice>
  </mc:AlternateContent>
  <xr:revisionPtr revIDLastSave="4" documentId="8_{4C9BAA2B-2F53-468A-9FC2-6B14F7D214C2}" xr6:coauthVersionLast="47" xr6:coauthVersionMax="47" xr10:uidLastSave="{D9E8F4B2-80B2-4FA7-8835-A553810F7B3F}"/>
  <bookViews>
    <workbookView xWindow="-110" yWindow="-110" windowWidth="19420" windowHeight="10300" firstSheet="1" activeTab="5" xr2:uid="{00000000-000D-0000-FFFF-FFFF00000000}"/>
  </bookViews>
  <sheets>
    <sheet name="Cover" sheetId="3" r:id="rId1"/>
    <sheet name="Raw Data" sheetId="1" r:id="rId2"/>
    <sheet name="Data Cleaning" sheetId="4" r:id="rId3"/>
    <sheet name="Calculations" sheetId="6" r:id="rId4"/>
    <sheet name="Dashbord" sheetId="24" r:id="rId5"/>
    <sheet name="Sheet1" sheetId="25" r:id="rId6"/>
  </sheets>
  <definedNames>
    <definedName name="avgunitp">Calculations!$G$4</definedName>
    <definedName name="totalsales">Calculations!$A$4</definedName>
    <definedName name="transaction">Calculations!$E$4</definedName>
    <definedName name="unitssold">Calculations!$C$4</definedName>
  </definedNames>
  <calcPr calcId="191029"/>
  <pivotCaches>
    <pivotCache cacheId="7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G6" i="4"/>
  <c r="C4" i="4"/>
  <c r="H57" i="4"/>
  <c r="B57" i="4"/>
  <c r="B77" i="4"/>
  <c r="A4" i="4"/>
  <c r="B4" i="4" s="1"/>
  <c r="A2" i="4"/>
  <c r="B2" i="4" s="1"/>
  <c r="C2" i="4"/>
  <c r="G2" i="4"/>
  <c r="H2" i="4"/>
  <c r="I2" i="4"/>
  <c r="A3" i="4"/>
  <c r="B3" i="4" s="1"/>
  <c r="C3" i="4"/>
  <c r="G3" i="4"/>
  <c r="H3" i="4"/>
  <c r="I3" i="4"/>
  <c r="G4" i="4"/>
  <c r="H4" i="4"/>
  <c r="I4" i="4"/>
  <c r="A5" i="4"/>
  <c r="B5" i="4" s="1"/>
  <c r="C5" i="4"/>
  <c r="G5" i="4"/>
  <c r="H5" i="4"/>
  <c r="I5" i="4"/>
  <c r="A6" i="4"/>
  <c r="B6" i="4" s="1"/>
  <c r="C6" i="4"/>
  <c r="H6" i="4"/>
  <c r="I6" i="4"/>
  <c r="A7" i="4"/>
  <c r="B7" i="4" s="1"/>
  <c r="C7" i="4"/>
  <c r="G7" i="4"/>
  <c r="H7" i="4"/>
  <c r="I7" i="4"/>
  <c r="A8" i="4"/>
  <c r="B8" i="4" s="1"/>
  <c r="C8" i="4"/>
  <c r="G8" i="4"/>
  <c r="H8" i="4"/>
  <c r="I8" i="4"/>
  <c r="A9" i="4"/>
  <c r="B9" i="4" s="1"/>
  <c r="C9" i="4"/>
  <c r="G9" i="4"/>
  <c r="H9" i="4"/>
  <c r="I9" i="4"/>
  <c r="A10" i="4"/>
  <c r="B10" i="4" s="1"/>
  <c r="C10" i="4"/>
  <c r="G10" i="4"/>
  <c r="H10" i="4"/>
  <c r="I10" i="4"/>
  <c r="A11" i="4"/>
  <c r="B11" i="4" s="1"/>
  <c r="C11" i="4"/>
  <c r="G11" i="4"/>
  <c r="H11" i="4"/>
  <c r="I11" i="4"/>
  <c r="A12" i="4"/>
  <c r="B12" i="4" s="1"/>
  <c r="C12" i="4"/>
  <c r="G12" i="4"/>
  <c r="H12" i="4"/>
  <c r="I12" i="4"/>
  <c r="A13" i="4"/>
  <c r="B13" i="4" s="1"/>
  <c r="C13" i="4"/>
  <c r="G13" i="4"/>
  <c r="H13" i="4"/>
  <c r="I13" i="4"/>
  <c r="A14" i="4"/>
  <c r="B14" i="4" s="1"/>
  <c r="C14" i="4"/>
  <c r="G14" i="4"/>
  <c r="H14" i="4"/>
  <c r="I14" i="4"/>
  <c r="A15" i="4"/>
  <c r="B15" i="4" s="1"/>
  <c r="C15" i="4"/>
  <c r="G15" i="4"/>
  <c r="H15" i="4"/>
  <c r="I15" i="4"/>
  <c r="A16" i="4"/>
  <c r="B16" i="4" s="1"/>
  <c r="C16" i="4"/>
  <c r="G16" i="4"/>
  <c r="H16" i="4"/>
  <c r="I16" i="4"/>
  <c r="A17" i="4"/>
  <c r="B17" i="4" s="1"/>
  <c r="C17" i="4"/>
  <c r="G17" i="4"/>
  <c r="H17" i="4"/>
  <c r="I17" i="4"/>
  <c r="A18" i="4"/>
  <c r="B18" i="4" s="1"/>
  <c r="C18" i="4"/>
  <c r="G18" i="4"/>
  <c r="H18" i="4"/>
  <c r="I18" i="4"/>
  <c r="A19" i="4"/>
  <c r="B19" i="4" s="1"/>
  <c r="C19" i="4"/>
  <c r="G19" i="4"/>
  <c r="H19" i="4"/>
  <c r="I19" i="4"/>
  <c r="A20" i="4"/>
  <c r="B20" i="4" s="1"/>
  <c r="C20" i="4"/>
  <c r="G20" i="4"/>
  <c r="H20" i="4"/>
  <c r="I20" i="4"/>
  <c r="A21" i="4"/>
  <c r="B21" i="4" s="1"/>
  <c r="C21" i="4"/>
  <c r="G21" i="4"/>
  <c r="H21" i="4"/>
  <c r="I21" i="4"/>
  <c r="A22" i="4"/>
  <c r="B22" i="4" s="1"/>
  <c r="C22" i="4"/>
  <c r="G22" i="4"/>
  <c r="H22" i="4"/>
  <c r="I22" i="4"/>
  <c r="A23" i="4"/>
  <c r="B23" i="4" s="1"/>
  <c r="C23" i="4"/>
  <c r="G23" i="4"/>
  <c r="H23" i="4"/>
  <c r="I23" i="4"/>
  <c r="A24" i="4"/>
  <c r="B24" i="4" s="1"/>
  <c r="C24" i="4"/>
  <c r="G24" i="4"/>
  <c r="H24" i="4"/>
  <c r="I24" i="4"/>
  <c r="A25" i="4"/>
  <c r="B25" i="4" s="1"/>
  <c r="C25" i="4"/>
  <c r="G25" i="4"/>
  <c r="H25" i="4"/>
  <c r="I25" i="4"/>
  <c r="A26" i="4"/>
  <c r="B26" i="4" s="1"/>
  <c r="C26" i="4"/>
  <c r="G26" i="4"/>
  <c r="H26" i="4"/>
  <c r="I26" i="4"/>
  <c r="A27" i="4"/>
  <c r="B27" i="4" s="1"/>
  <c r="C27" i="4"/>
  <c r="G27" i="4"/>
  <c r="H27" i="4"/>
  <c r="I27" i="4"/>
  <c r="A28" i="4"/>
  <c r="B28" i="4" s="1"/>
  <c r="C28" i="4"/>
  <c r="G28" i="4"/>
  <c r="H28" i="4"/>
  <c r="I28" i="4"/>
  <c r="A29" i="4"/>
  <c r="B29" i="4" s="1"/>
  <c r="C29" i="4"/>
  <c r="G29" i="4"/>
  <c r="H29" i="4"/>
  <c r="I29" i="4"/>
  <c r="A30" i="4"/>
  <c r="B30" i="4" s="1"/>
  <c r="C30" i="4"/>
  <c r="G30" i="4"/>
  <c r="H30" i="4"/>
  <c r="I30" i="4"/>
  <c r="A31" i="4"/>
  <c r="B31" i="4" s="1"/>
  <c r="C31" i="4"/>
  <c r="G31" i="4"/>
  <c r="H31" i="4"/>
  <c r="I31" i="4"/>
  <c r="A32" i="4"/>
  <c r="B32" i="4" s="1"/>
  <c r="C32" i="4"/>
  <c r="G32" i="4"/>
  <c r="H32" i="4"/>
  <c r="I32" i="4"/>
  <c r="A33" i="4"/>
  <c r="B33" i="4" s="1"/>
  <c r="C33" i="4"/>
  <c r="G33" i="4"/>
  <c r="H33" i="4"/>
  <c r="I33" i="4"/>
  <c r="A34" i="4"/>
  <c r="B34" i="4" s="1"/>
  <c r="C34" i="4"/>
  <c r="G34" i="4"/>
  <c r="H34" i="4"/>
  <c r="I34" i="4"/>
  <c r="A35" i="4"/>
  <c r="B35" i="4" s="1"/>
  <c r="C35" i="4"/>
  <c r="G35" i="4"/>
  <c r="H35" i="4"/>
  <c r="I35" i="4"/>
  <c r="A36" i="4"/>
  <c r="B36" i="4" s="1"/>
  <c r="C36" i="4"/>
  <c r="G36" i="4"/>
  <c r="H36" i="4"/>
  <c r="I36" i="4"/>
  <c r="A37" i="4"/>
  <c r="B37" i="4" s="1"/>
  <c r="C37" i="4"/>
  <c r="G37" i="4"/>
  <c r="H37" i="4"/>
  <c r="I37" i="4"/>
  <c r="A38" i="4"/>
  <c r="B38" i="4" s="1"/>
  <c r="C38" i="4"/>
  <c r="G38" i="4"/>
  <c r="H38" i="4"/>
  <c r="I38" i="4"/>
  <c r="A39" i="4"/>
  <c r="B39" i="4" s="1"/>
  <c r="C39" i="4"/>
  <c r="G39" i="4"/>
  <c r="H39" i="4"/>
  <c r="I39" i="4"/>
  <c r="A40" i="4"/>
  <c r="B40" i="4" s="1"/>
  <c r="C40" i="4"/>
  <c r="G40" i="4"/>
  <c r="H40" i="4"/>
  <c r="I40" i="4"/>
  <c r="A41" i="4"/>
  <c r="B41" i="4" s="1"/>
  <c r="C41" i="4"/>
  <c r="G41" i="4"/>
  <c r="H41" i="4"/>
  <c r="I41" i="4"/>
  <c r="A42" i="4"/>
  <c r="B42" i="4" s="1"/>
  <c r="C42" i="4"/>
  <c r="G42" i="4"/>
  <c r="H42" i="4"/>
  <c r="I42" i="4"/>
  <c r="A43" i="4"/>
  <c r="B43" i="4" s="1"/>
  <c r="C43" i="4"/>
  <c r="G43" i="4"/>
  <c r="H43" i="4"/>
  <c r="I43" i="4"/>
  <c r="A44" i="4"/>
  <c r="B44" i="4" s="1"/>
  <c r="C44" i="4"/>
  <c r="G44" i="4"/>
  <c r="H44" i="4"/>
  <c r="I44" i="4"/>
  <c r="A45" i="4"/>
  <c r="B45" i="4" s="1"/>
  <c r="C45" i="4"/>
  <c r="G45" i="4"/>
  <c r="H45" i="4"/>
  <c r="I45" i="4"/>
  <c r="A46" i="4"/>
  <c r="B46" i="4" s="1"/>
  <c r="C46" i="4"/>
  <c r="G46" i="4"/>
  <c r="H46" i="4"/>
  <c r="I46" i="4"/>
  <c r="A47" i="4"/>
  <c r="B47" i="4" s="1"/>
  <c r="C47" i="4"/>
  <c r="G47" i="4"/>
  <c r="H47" i="4"/>
  <c r="I47" i="4"/>
  <c r="A48" i="4"/>
  <c r="B48" i="4" s="1"/>
  <c r="C48" i="4"/>
  <c r="G48" i="4"/>
  <c r="H48" i="4"/>
  <c r="I48" i="4"/>
  <c r="A49" i="4"/>
  <c r="B49" i="4" s="1"/>
  <c r="C49" i="4"/>
  <c r="G49" i="4"/>
  <c r="H49" i="4"/>
  <c r="I49" i="4"/>
  <c r="A50" i="4"/>
  <c r="B50" i="4" s="1"/>
  <c r="C50" i="4"/>
  <c r="G50" i="4"/>
  <c r="H50" i="4"/>
  <c r="I50" i="4"/>
  <c r="A51" i="4"/>
  <c r="B51" i="4" s="1"/>
  <c r="C51" i="4"/>
  <c r="G51" i="4"/>
  <c r="H51" i="4"/>
  <c r="I51" i="4"/>
  <c r="A52" i="4"/>
  <c r="B52" i="4" s="1"/>
  <c r="C52" i="4"/>
  <c r="G52" i="4"/>
  <c r="H52" i="4"/>
  <c r="I52" i="4"/>
  <c r="A53" i="4"/>
  <c r="B53" i="4" s="1"/>
  <c r="C53" i="4"/>
  <c r="G53" i="4"/>
  <c r="H53" i="4"/>
  <c r="I53" i="4"/>
  <c r="A54" i="4"/>
  <c r="B54" i="4" s="1"/>
  <c r="C54" i="4"/>
  <c r="G54" i="4"/>
  <c r="H54" i="4"/>
  <c r="I54" i="4"/>
  <c r="A55" i="4"/>
  <c r="B55" i="4" s="1"/>
  <c r="C55" i="4"/>
  <c r="G55" i="4"/>
  <c r="H55" i="4"/>
  <c r="I55" i="4"/>
  <c r="A56" i="4"/>
  <c r="B56" i="4" s="1"/>
  <c r="C56" i="4"/>
  <c r="G56" i="4"/>
  <c r="H56" i="4"/>
  <c r="I56" i="4"/>
  <c r="A57" i="4"/>
  <c r="C57" i="4"/>
  <c r="G57" i="4"/>
  <c r="I57" i="4"/>
  <c r="A58" i="4"/>
  <c r="B58" i="4" s="1"/>
  <c r="C58" i="4"/>
  <c r="G58" i="4"/>
  <c r="H58" i="4"/>
  <c r="I58" i="4"/>
  <c r="A59" i="4"/>
  <c r="B59" i="4" s="1"/>
  <c r="C59" i="4"/>
  <c r="G59" i="4"/>
  <c r="H59" i="4"/>
  <c r="I59" i="4"/>
  <c r="A60" i="4"/>
  <c r="B60" i="4" s="1"/>
  <c r="C60" i="4"/>
  <c r="G60" i="4"/>
  <c r="H60" i="4"/>
  <c r="I60" i="4"/>
  <c r="A61" i="4"/>
  <c r="B61" i="4" s="1"/>
  <c r="C61" i="4"/>
  <c r="G61" i="4"/>
  <c r="H61" i="4"/>
  <c r="I61" i="4"/>
  <c r="A62" i="4"/>
  <c r="B62" i="4" s="1"/>
  <c r="C62" i="4"/>
  <c r="G62" i="4"/>
  <c r="H62" i="4"/>
  <c r="I62" i="4"/>
  <c r="A63" i="4"/>
  <c r="B63" i="4" s="1"/>
  <c r="C63" i="4"/>
  <c r="G63" i="4"/>
  <c r="H63" i="4"/>
  <c r="I63" i="4"/>
  <c r="A64" i="4"/>
  <c r="B64" i="4" s="1"/>
  <c r="C64" i="4"/>
  <c r="G64" i="4"/>
  <c r="H64" i="4"/>
  <c r="I64" i="4"/>
  <c r="A65" i="4"/>
  <c r="B65" i="4" s="1"/>
  <c r="C65" i="4"/>
  <c r="G65" i="4"/>
  <c r="H65" i="4"/>
  <c r="I65" i="4"/>
  <c r="A66" i="4"/>
  <c r="B66" i="4" s="1"/>
  <c r="C66" i="4"/>
  <c r="G66" i="4"/>
  <c r="H66" i="4"/>
  <c r="I66" i="4"/>
  <c r="A67" i="4"/>
  <c r="B67" i="4" s="1"/>
  <c r="C67" i="4"/>
  <c r="G67" i="4"/>
  <c r="H67" i="4"/>
  <c r="I67" i="4"/>
  <c r="A68" i="4"/>
  <c r="B68" i="4" s="1"/>
  <c r="C68" i="4"/>
  <c r="G68" i="4"/>
  <c r="H68" i="4"/>
  <c r="I68" i="4"/>
  <c r="A69" i="4"/>
  <c r="B69" i="4" s="1"/>
  <c r="C69" i="4"/>
  <c r="G69" i="4"/>
  <c r="H69" i="4"/>
  <c r="I69" i="4"/>
  <c r="A70" i="4"/>
  <c r="B70" i="4" s="1"/>
  <c r="C70" i="4"/>
  <c r="G70" i="4"/>
  <c r="H70" i="4"/>
  <c r="I70" i="4"/>
  <c r="A71" i="4"/>
  <c r="B71" i="4" s="1"/>
  <c r="C71" i="4"/>
  <c r="G71" i="4"/>
  <c r="H71" i="4"/>
  <c r="I71" i="4"/>
  <c r="A72" i="4"/>
  <c r="B72" i="4" s="1"/>
  <c r="C72" i="4"/>
  <c r="G72" i="4"/>
  <c r="H72" i="4"/>
  <c r="I72" i="4"/>
  <c r="A73" i="4"/>
  <c r="B73" i="4" s="1"/>
  <c r="C73" i="4"/>
  <c r="G73" i="4"/>
  <c r="H73" i="4"/>
  <c r="I73" i="4"/>
  <c r="A74" i="4"/>
  <c r="B74" i="4" s="1"/>
  <c r="C74" i="4"/>
  <c r="G74" i="4"/>
  <c r="H74" i="4"/>
  <c r="I74" i="4"/>
  <c r="A75" i="4"/>
  <c r="B75" i="4" s="1"/>
  <c r="C75" i="4"/>
  <c r="G75" i="4"/>
  <c r="H75" i="4"/>
  <c r="I75" i="4"/>
  <c r="A76" i="4"/>
  <c r="B76" i="4" s="1"/>
  <c r="C76" i="4"/>
  <c r="G76" i="4"/>
  <c r="H76" i="4"/>
  <c r="I76" i="4"/>
  <c r="A77" i="4"/>
  <c r="C77" i="4"/>
  <c r="G77" i="4"/>
  <c r="H77" i="4"/>
  <c r="I77" i="4"/>
  <c r="A78" i="4"/>
  <c r="B78" i="4" s="1"/>
  <c r="C78" i="4"/>
  <c r="G78" i="4"/>
  <c r="H78" i="4"/>
  <c r="I78" i="4"/>
  <c r="A79" i="4"/>
  <c r="B79" i="4" s="1"/>
  <c r="C79" i="4"/>
  <c r="G79" i="4"/>
  <c r="H79" i="4"/>
  <c r="I79" i="4"/>
  <c r="A80" i="4"/>
  <c r="B80" i="4" s="1"/>
  <c r="C80" i="4"/>
  <c r="G80" i="4"/>
  <c r="H80" i="4"/>
  <c r="I80" i="4"/>
  <c r="A81" i="4"/>
  <c r="B81" i="4" s="1"/>
  <c r="C81" i="4"/>
  <c r="G81" i="4"/>
  <c r="H81" i="4"/>
  <c r="I81" i="4"/>
  <c r="A82" i="4"/>
  <c r="B82" i="4" s="1"/>
  <c r="C82" i="4"/>
  <c r="G82" i="4"/>
  <c r="H82" i="4"/>
  <c r="I82" i="4"/>
  <c r="A83" i="4"/>
  <c r="B83" i="4" s="1"/>
  <c r="C83" i="4"/>
  <c r="G83" i="4"/>
  <c r="H83" i="4"/>
  <c r="I83" i="4"/>
  <c r="A84" i="4"/>
  <c r="B84" i="4" s="1"/>
  <c r="C84" i="4"/>
  <c r="G84" i="4"/>
  <c r="H84" i="4"/>
  <c r="I84" i="4"/>
  <c r="A85" i="4"/>
  <c r="B85" i="4" s="1"/>
  <c r="C85" i="4"/>
  <c r="G85" i="4"/>
  <c r="H85" i="4"/>
  <c r="I85" i="4"/>
  <c r="A86" i="4"/>
  <c r="B86" i="4" s="1"/>
  <c r="C86" i="4"/>
  <c r="G86" i="4"/>
  <c r="H86" i="4"/>
  <c r="I86" i="4"/>
  <c r="A87" i="4"/>
  <c r="B87" i="4" s="1"/>
  <c r="C87" i="4"/>
  <c r="G87" i="4"/>
  <c r="H87" i="4"/>
  <c r="I87" i="4"/>
  <c r="A88" i="4"/>
  <c r="B88" i="4" s="1"/>
  <c r="C88" i="4"/>
  <c r="G88" i="4"/>
  <c r="H88" i="4"/>
  <c r="I88" i="4"/>
  <c r="A89" i="4"/>
  <c r="B89" i="4" s="1"/>
  <c r="C89" i="4"/>
  <c r="G89" i="4"/>
  <c r="H89" i="4"/>
  <c r="I89" i="4"/>
  <c r="A90" i="4"/>
  <c r="B90" i="4" s="1"/>
  <c r="C90" i="4"/>
  <c r="G90" i="4"/>
  <c r="H90" i="4"/>
  <c r="I90" i="4"/>
  <c r="A91" i="4"/>
  <c r="B91" i="4" s="1"/>
  <c r="C91" i="4"/>
  <c r="G91" i="4"/>
  <c r="H91" i="4"/>
  <c r="I91" i="4"/>
  <c r="A92" i="4"/>
  <c r="B92" i="4" s="1"/>
  <c r="C92" i="4"/>
  <c r="G92" i="4"/>
  <c r="H92" i="4"/>
  <c r="I92" i="4"/>
  <c r="A93" i="4"/>
  <c r="B93" i="4" s="1"/>
  <c r="C93" i="4"/>
  <c r="G93" i="4"/>
  <c r="H93" i="4"/>
  <c r="I93" i="4"/>
  <c r="A94" i="4"/>
  <c r="B94" i="4" s="1"/>
  <c r="C94" i="4"/>
  <c r="G94" i="4"/>
  <c r="H94" i="4"/>
  <c r="I94" i="4"/>
  <c r="A95" i="4"/>
  <c r="B95" i="4" s="1"/>
  <c r="C95" i="4"/>
  <c r="G95" i="4"/>
  <c r="H95" i="4"/>
  <c r="I95" i="4"/>
  <c r="A96" i="4"/>
  <c r="B96" i="4" s="1"/>
  <c r="C96" i="4"/>
  <c r="G96" i="4"/>
  <c r="H96" i="4"/>
  <c r="I96" i="4"/>
  <c r="A97" i="4"/>
  <c r="B97" i="4" s="1"/>
  <c r="C97" i="4"/>
  <c r="G97" i="4"/>
  <c r="H97" i="4"/>
  <c r="I97" i="4"/>
  <c r="A98" i="4"/>
  <c r="B98" i="4" s="1"/>
  <c r="C98" i="4"/>
  <c r="G98" i="4"/>
  <c r="H98" i="4"/>
  <c r="I98" i="4"/>
  <c r="A99" i="4"/>
  <c r="B99" i="4" s="1"/>
  <c r="C99" i="4"/>
  <c r="G99" i="4"/>
  <c r="H99" i="4"/>
  <c r="I99" i="4"/>
  <c r="A100" i="4"/>
  <c r="B100" i="4" s="1"/>
  <c r="C100" i="4"/>
  <c r="G100" i="4"/>
  <c r="H100" i="4"/>
  <c r="I100" i="4"/>
  <c r="A101" i="4"/>
  <c r="B101" i="4" s="1"/>
  <c r="C101" i="4"/>
  <c r="G101" i="4"/>
  <c r="H101" i="4"/>
  <c r="I101" i="4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</calcChain>
</file>

<file path=xl/sharedStrings.xml><?xml version="1.0" encoding="utf-8"?>
<sst xmlns="http://schemas.openxmlformats.org/spreadsheetml/2006/main" count="706" uniqueCount="479">
  <si>
    <t>Date</t>
  </si>
  <si>
    <t>Region</t>
  </si>
  <si>
    <t>Product</t>
  </si>
  <si>
    <t>Category</t>
  </si>
  <si>
    <t>Units Sold</t>
  </si>
  <si>
    <t>Unit Price</t>
  </si>
  <si>
    <t>Sales Rep</t>
  </si>
  <si>
    <t>Customer</t>
  </si>
  <si>
    <t>South</t>
  </si>
  <si>
    <t>LAPTOP  A15</t>
  </si>
  <si>
    <t xml:space="preserve">computers  </t>
  </si>
  <si>
    <t xml:space="preserve">  Peter Obi   </t>
  </si>
  <si>
    <t>bright solutions</t>
  </si>
  <si>
    <t xml:space="preserve"> EAST</t>
  </si>
  <si>
    <t>tv  43q</t>
  </si>
  <si>
    <t>ELECTRONICS</t>
  </si>
  <si>
    <t xml:space="preserve">Ifeanyi Okafor  </t>
  </si>
  <si>
    <t>Musa Enterprises</t>
  </si>
  <si>
    <t>PHONE X12</t>
  </si>
  <si>
    <t>Mobile</t>
  </si>
  <si>
    <t>fola balogun</t>
  </si>
  <si>
    <t xml:space="preserve"> ZAINAB GLOBAL  </t>
  </si>
  <si>
    <t>17-MAY-2025</t>
  </si>
  <si>
    <t xml:space="preserve">South </t>
  </si>
  <si>
    <t xml:space="preserve">  PERIPHERALS </t>
  </si>
  <si>
    <t>IFEANYI OKAFOR</t>
  </si>
  <si>
    <t xml:space="preserve">28-jan-2025   </t>
  </si>
  <si>
    <t>WEST</t>
  </si>
  <si>
    <t xml:space="preserve">  Phone X12 </t>
  </si>
  <si>
    <t xml:space="preserve"> Mobile</t>
  </si>
  <si>
    <t xml:space="preserve">  26-May-2025 </t>
  </si>
  <si>
    <t>mobile</t>
  </si>
  <si>
    <t>IFEANYI  OKAFOR</t>
  </si>
  <si>
    <t>Musa  Enterprises</t>
  </si>
  <si>
    <t xml:space="preserve"> 06-MAY-2025 </t>
  </si>
  <si>
    <t xml:space="preserve"> WEST </t>
  </si>
  <si>
    <t xml:space="preserve">  tv 43q </t>
  </si>
  <si>
    <t xml:space="preserve"> Electronics</t>
  </si>
  <si>
    <t>AISHA  BELLO</t>
  </si>
  <si>
    <t>Chika  Mart</t>
  </si>
  <si>
    <t>10-Feb-2025</t>
  </si>
  <si>
    <t xml:space="preserve">west  </t>
  </si>
  <si>
    <t xml:space="preserve"> monitor m24  </t>
  </si>
  <si>
    <t>peripherals</t>
  </si>
  <si>
    <t>peter obi</t>
  </si>
  <si>
    <t xml:space="preserve"> 01-FEB-2025 </t>
  </si>
  <si>
    <t xml:space="preserve"> East </t>
  </si>
  <si>
    <t xml:space="preserve"> CAMERA C100</t>
  </si>
  <si>
    <t xml:space="preserve">PHOTOGRAPHY </t>
  </si>
  <si>
    <t xml:space="preserve"> fola balogun </t>
  </si>
  <si>
    <t>28-Jun-2025</t>
  </si>
  <si>
    <t>West</t>
  </si>
  <si>
    <t>Tablet  T8</t>
  </si>
  <si>
    <t xml:space="preserve">  Peter Obi </t>
  </si>
  <si>
    <t>Alpha Retailers</t>
  </si>
  <si>
    <t xml:space="preserve"> 18-Apr-2025 </t>
  </si>
  <si>
    <t>south</t>
  </si>
  <si>
    <t xml:space="preserve"> TABLET T8 	</t>
  </si>
  <si>
    <t xml:space="preserve">  Mobile</t>
  </si>
  <si>
    <t>fola  balogun</t>
  </si>
  <si>
    <t>MUSA ENTERPRISES</t>
  </si>
  <si>
    <t xml:space="preserve"> 25-Feb-2025</t>
  </si>
  <si>
    <t>North</t>
  </si>
  <si>
    <t xml:space="preserve"> Audio </t>
  </si>
  <si>
    <t>Aisha Bello</t>
  </si>
  <si>
    <t>Omega Wholesale</t>
  </si>
  <si>
    <t xml:space="preserve">  29-Apr-2025</t>
  </si>
  <si>
    <t xml:space="preserve">TABLET  T8 </t>
  </si>
  <si>
    <t xml:space="preserve">Mobile </t>
  </si>
  <si>
    <t xml:space="preserve">  AISHA BELLO</t>
  </si>
  <si>
    <t>kelvin tech</t>
  </si>
  <si>
    <t xml:space="preserve">02-Feb-2025  </t>
  </si>
  <si>
    <t xml:space="preserve"> tv 43q</t>
  </si>
  <si>
    <t>Chinedu  Nwosu</t>
  </si>
  <si>
    <t>EMEKA  TRADERS</t>
  </si>
  <si>
    <t xml:space="preserve">15-Apr-2025  </t>
  </si>
  <si>
    <t xml:space="preserve">SOUTH </t>
  </si>
  <si>
    <t xml:space="preserve"> Speaker S10 </t>
  </si>
  <si>
    <t xml:space="preserve">ifeanyi okafor  </t>
  </si>
  <si>
    <t>BRIGHT SOLUTIONS</t>
  </si>
  <si>
    <t>12-Jun-2025</t>
  </si>
  <si>
    <t xml:space="preserve">East  </t>
  </si>
  <si>
    <t>monitor m24</t>
  </si>
  <si>
    <t xml:space="preserve"> Peripherals </t>
  </si>
  <si>
    <t xml:space="preserve">chinedu nwosu   </t>
  </si>
  <si>
    <t>tola  ventures</t>
  </si>
  <si>
    <t xml:space="preserve">  31-JAN-2025 </t>
  </si>
  <si>
    <t>East</t>
  </si>
  <si>
    <t xml:space="preserve">Camera  C100 </t>
  </si>
  <si>
    <t xml:space="preserve">Photography </t>
  </si>
  <si>
    <t xml:space="preserve"> Fola Balogun </t>
  </si>
  <si>
    <t>02-FEB-2025</t>
  </si>
  <si>
    <t xml:space="preserve">  West</t>
  </si>
  <si>
    <t>Tablet T8</t>
  </si>
  <si>
    <t xml:space="preserve">  mary john </t>
  </si>
  <si>
    <t xml:space="preserve">  Jide Superstores </t>
  </si>
  <si>
    <t xml:space="preserve">25-May-2025 </t>
  </si>
  <si>
    <t xml:space="preserve"> Camera C100</t>
  </si>
  <si>
    <t>Photography</t>
  </si>
  <si>
    <t>Grace  Amos</t>
  </si>
  <si>
    <t xml:space="preserve">Femi Tech </t>
  </si>
  <si>
    <t xml:space="preserve">26-FEB-2025    </t>
  </si>
  <si>
    <t xml:space="preserve"> North</t>
  </si>
  <si>
    <t>Camera  C100</t>
  </si>
  <si>
    <t>Chinedu Nwosu</t>
  </si>
  <si>
    <t xml:space="preserve"> EAST </t>
  </si>
  <si>
    <t>Laptop A15</t>
  </si>
  <si>
    <t>Computers</t>
  </si>
  <si>
    <t xml:space="preserve">GRACE AMOS </t>
  </si>
  <si>
    <t>24-FEB-2025</t>
  </si>
  <si>
    <t xml:space="preserve"> camera c100   </t>
  </si>
  <si>
    <t xml:space="preserve">  Photography </t>
  </si>
  <si>
    <t>PETER  OBI</t>
  </si>
  <si>
    <t xml:space="preserve">Emeka Traders </t>
  </si>
  <si>
    <t xml:space="preserve">  24-mar-2025</t>
  </si>
  <si>
    <t>EAST</t>
  </si>
  <si>
    <t xml:space="preserve">Tablet T8 </t>
  </si>
  <si>
    <t>Maryam Ltd</t>
  </si>
  <si>
    <t xml:space="preserve">  28-May-2025 </t>
  </si>
  <si>
    <t>north</t>
  </si>
  <si>
    <t xml:space="preserve"> Tablet T8 </t>
  </si>
  <si>
    <t xml:space="preserve">mobile   </t>
  </si>
  <si>
    <t xml:space="preserve"> ifeanyi okafor </t>
  </si>
  <si>
    <t>omega  wholesale</t>
  </si>
  <si>
    <t xml:space="preserve">  12-MAY-2025</t>
  </si>
  <si>
    <t xml:space="preserve">  West </t>
  </si>
  <si>
    <t xml:space="preserve"> Computers </t>
  </si>
  <si>
    <t xml:space="preserve"> Grace Amos </t>
  </si>
  <si>
    <t xml:space="preserve">femi tech </t>
  </si>
  <si>
    <t xml:space="preserve">  11-MAY-2025 </t>
  </si>
  <si>
    <t xml:space="preserve"> East</t>
  </si>
  <si>
    <t xml:space="preserve">Camera C010 </t>
  </si>
  <si>
    <t>photography</t>
  </si>
  <si>
    <t xml:space="preserve">chinedu nwosu </t>
  </si>
  <si>
    <t xml:space="preserve"> 16-JAN-2025 </t>
  </si>
  <si>
    <t xml:space="preserve"> SPEAKER S10</t>
  </si>
  <si>
    <t>grace amos</t>
  </si>
  <si>
    <t xml:space="preserve">  Femi Tech </t>
  </si>
  <si>
    <t>10-May-2025</t>
  </si>
  <si>
    <t xml:space="preserve"> Monitor M24 </t>
  </si>
  <si>
    <t>PERIPHERALS</t>
  </si>
  <si>
    <t>01-feb-2025</t>
  </si>
  <si>
    <t xml:space="preserve">  South </t>
  </si>
  <si>
    <t xml:space="preserve">TV  43Q </t>
  </si>
  <si>
    <t>elecrtonics</t>
  </si>
  <si>
    <t xml:space="preserve">06-feb-2025 </t>
  </si>
  <si>
    <t>Electronics</t>
  </si>
  <si>
    <t xml:space="preserve">peter  obi </t>
  </si>
  <si>
    <t xml:space="preserve"> Femi Tech </t>
  </si>
  <si>
    <t>17-JUN-2025</t>
  </si>
  <si>
    <t>west</t>
  </si>
  <si>
    <t xml:space="preserve">Electronics   </t>
  </si>
  <si>
    <t xml:space="preserve">  09-Jan-2025 </t>
  </si>
  <si>
    <t>TABLET T8</t>
  </si>
  <si>
    <t>alpha retailers</t>
  </si>
  <si>
    <t xml:space="preserve">29-Jun-2025 </t>
  </si>
  <si>
    <t xml:space="preserve">North  </t>
  </si>
  <si>
    <t xml:space="preserve"> PHOTOGRAPHY</t>
  </si>
  <si>
    <t>Peter Obi</t>
  </si>
  <si>
    <t>Alpha  Retailers</t>
  </si>
  <si>
    <t xml:space="preserve">mobile </t>
  </si>
  <si>
    <t xml:space="preserve"> Peter Obi </t>
  </si>
  <si>
    <t>Femi  Tech</t>
  </si>
  <si>
    <t>06-Feb-2025</t>
  </si>
  <si>
    <t xml:space="preserve"> laptop a15 	</t>
  </si>
  <si>
    <t xml:space="preserve">Omega Wholesale </t>
  </si>
  <si>
    <t xml:space="preserve">06-Apr-2025  </t>
  </si>
  <si>
    <t>Monitor  M24</t>
  </si>
  <si>
    <t xml:space="preserve">Peripherals  </t>
  </si>
  <si>
    <t>maryam  ltd</t>
  </si>
  <si>
    <t xml:space="preserve"> 07-Feb-2025</t>
  </si>
  <si>
    <t xml:space="preserve">Monitor  M24 </t>
  </si>
  <si>
    <t xml:space="preserve">Peripherals </t>
  </si>
  <si>
    <t xml:space="preserve"> Mary John </t>
  </si>
  <si>
    <t xml:space="preserve">TOPE  &amp; SONS </t>
  </si>
  <si>
    <t xml:space="preserve">  07-mar-2025</t>
  </si>
  <si>
    <t xml:space="preserve"> east </t>
  </si>
  <si>
    <t>CAMERA C100</t>
  </si>
  <si>
    <t>PHOTOGRAPHY</t>
  </si>
  <si>
    <t xml:space="preserve"> GRACE AMOS</t>
  </si>
  <si>
    <t xml:space="preserve">  07-May-2025</t>
  </si>
  <si>
    <t xml:space="preserve">  North</t>
  </si>
  <si>
    <t xml:space="preserve"> PHONE X12 </t>
  </si>
  <si>
    <t>Mobile.</t>
  </si>
  <si>
    <t xml:space="preserve">  MARY JOHN </t>
  </si>
  <si>
    <t xml:space="preserve"> 30-Jun-2025 </t>
  </si>
  <si>
    <t>unknown</t>
  </si>
  <si>
    <t xml:space="preserve"> Musa Enterprises </t>
  </si>
  <si>
    <t xml:space="preserve">NORTH  </t>
  </si>
  <si>
    <t xml:space="preserve"> mary john 	</t>
  </si>
  <si>
    <t>TOPE &amp; SONS</t>
  </si>
  <si>
    <t>13-Jan-2025</t>
  </si>
  <si>
    <t>SOUTH</t>
  </si>
  <si>
    <t xml:space="preserve">  PHONE X12 </t>
  </si>
  <si>
    <t xml:space="preserve">15-JUN-2025  </t>
  </si>
  <si>
    <t xml:space="preserve">south </t>
  </si>
  <si>
    <t>LAPTOP A15</t>
  </si>
  <si>
    <t xml:space="preserve"> Mary John</t>
  </si>
  <si>
    <t xml:space="preserve">Chika  Mart </t>
  </si>
  <si>
    <t>28-Feb-2025</t>
  </si>
  <si>
    <t xml:space="preserve">  east</t>
  </si>
  <si>
    <t xml:space="preserve">SPEAKER  S10 </t>
  </si>
  <si>
    <t>Audio</t>
  </si>
  <si>
    <t xml:space="preserve">ifeanyi okafor </t>
  </si>
  <si>
    <t>19-FEB-2025</t>
  </si>
  <si>
    <t xml:space="preserve">Mary John </t>
  </si>
  <si>
    <t xml:space="preserve">KELVIN TECH </t>
  </si>
  <si>
    <t>03-mar-2025</t>
  </si>
  <si>
    <t xml:space="preserve">  East</t>
  </si>
  <si>
    <t xml:space="preserve">Tablet  T8 </t>
  </si>
  <si>
    <t>Fola  Balogun</t>
  </si>
  <si>
    <t>01-APR-2025</t>
  </si>
  <si>
    <t xml:space="preserve"> west </t>
  </si>
  <si>
    <t>MARY JOHN</t>
  </si>
  <si>
    <t xml:space="preserve">  Chika Mart </t>
  </si>
  <si>
    <t xml:space="preserve">07-APR-2025 </t>
  </si>
  <si>
    <t xml:space="preserve">South  </t>
  </si>
  <si>
    <t>TV  43Q</t>
  </si>
  <si>
    <t xml:space="preserve">Jide Superstores </t>
  </si>
  <si>
    <t>26-Feb-2025</t>
  </si>
  <si>
    <t xml:space="preserve"> mobile   </t>
  </si>
  <si>
    <t xml:space="preserve"> KELVIN TECH</t>
  </si>
  <si>
    <t>01-jun-2025</t>
  </si>
  <si>
    <t>Speaker  S10</t>
  </si>
  <si>
    <t>audio</t>
  </si>
  <si>
    <t xml:space="preserve">  Aisha Bello </t>
  </si>
  <si>
    <t xml:space="preserve"> BRIGHT SOLUTIONS</t>
  </si>
  <si>
    <t xml:space="preserve">14-jan-2025  </t>
  </si>
  <si>
    <t xml:space="preserve"> West </t>
  </si>
  <si>
    <t>monitor  m24</t>
  </si>
  <si>
    <t xml:space="preserve"> PERIPHERALS</t>
  </si>
  <si>
    <t xml:space="preserve"> fola balogun</t>
  </si>
  <si>
    <t>Femi Tech</t>
  </si>
  <si>
    <t xml:space="preserve">22-feb-2025 	</t>
  </si>
  <si>
    <t xml:space="preserve"> peripherals </t>
  </si>
  <si>
    <t xml:space="preserve">grace amos </t>
  </si>
  <si>
    <t>jide superstores</t>
  </si>
  <si>
    <t xml:space="preserve">  WEST</t>
  </si>
  <si>
    <t xml:space="preserve">  Kelvin Tech </t>
  </si>
  <si>
    <t xml:space="preserve">27-Jan-2025 </t>
  </si>
  <si>
    <t xml:space="preserve"> FEMI TECH</t>
  </si>
  <si>
    <t xml:space="preserve"> West</t>
  </si>
  <si>
    <t xml:space="preserve">tv  43q </t>
  </si>
  <si>
    <t xml:space="preserve">  08-mar-2025</t>
  </si>
  <si>
    <t xml:space="preserve">north  </t>
  </si>
  <si>
    <t xml:space="preserve">phone x12 </t>
  </si>
  <si>
    <t>aisha  bello</t>
  </si>
  <si>
    <t xml:space="preserve"> 23-JAN-2025</t>
  </si>
  <si>
    <t xml:space="preserve">Tablet T8	</t>
  </si>
  <si>
    <t>MOBILE</t>
  </si>
  <si>
    <t xml:space="preserve">maryam ltd </t>
  </si>
  <si>
    <t>16-Jan-2025</t>
  </si>
  <si>
    <t xml:space="preserve">audio </t>
  </si>
  <si>
    <t>Kelvin  Tech</t>
  </si>
  <si>
    <t>laptop  a15</t>
  </si>
  <si>
    <t xml:space="preserve">COMPUTERS   </t>
  </si>
  <si>
    <t xml:space="preserve"> aisha bello</t>
  </si>
  <si>
    <t>zainab global</t>
  </si>
  <si>
    <t>east</t>
  </si>
  <si>
    <t xml:space="preserve"> 06-jan-2025  </t>
  </si>
  <si>
    <t xml:space="preserve">  south</t>
  </si>
  <si>
    <t xml:space="preserve">  TABLET T8 </t>
  </si>
  <si>
    <t xml:space="preserve"> Mobile </t>
  </si>
  <si>
    <t xml:space="preserve">  aisha bello</t>
  </si>
  <si>
    <t>Emeka  Traders</t>
  </si>
  <si>
    <t>TV 43Q</t>
  </si>
  <si>
    <t>EELCTRONICS</t>
  </si>
  <si>
    <t xml:space="preserve">  CHINEDU NWOSU</t>
  </si>
  <si>
    <t>Tola  Ventures</t>
  </si>
  <si>
    <t xml:space="preserve"> 14-Jan-2025 </t>
  </si>
  <si>
    <t xml:space="preserve">  Laptop A15</t>
  </si>
  <si>
    <t xml:space="preserve">Computers  </t>
  </si>
  <si>
    <t xml:space="preserve">  chinedu nwosu </t>
  </si>
  <si>
    <t>CHIKA MART</t>
  </si>
  <si>
    <t xml:space="preserve">02-MAY-2025	</t>
  </si>
  <si>
    <t xml:space="preserve">17-Jun-2205  </t>
  </si>
  <si>
    <t xml:space="preserve">SPEAKER S10	</t>
  </si>
  <si>
    <t>Fola Balogun</t>
  </si>
  <si>
    <t xml:space="preserve">  emeka traders</t>
  </si>
  <si>
    <t xml:space="preserve"> 13-Jan-2025 </t>
  </si>
  <si>
    <t xml:space="preserve">  Chinedu Nwosu</t>
  </si>
  <si>
    <t xml:space="preserve">02-Jun-2025 </t>
  </si>
  <si>
    <t xml:space="preserve"> MOBILE</t>
  </si>
  <si>
    <t xml:space="preserve">Ifeanyi Okafor </t>
  </si>
  <si>
    <t>16-Feb-2025</t>
  </si>
  <si>
    <t xml:space="preserve">peter obi </t>
  </si>
  <si>
    <t xml:space="preserve"> Speaker S10</t>
  </si>
  <si>
    <t xml:space="preserve">AUDIO </t>
  </si>
  <si>
    <t xml:space="preserve">  chinedu nwosu</t>
  </si>
  <si>
    <t xml:space="preserve">Kelvin Tech </t>
  </si>
  <si>
    <t xml:space="preserve"> 06-Jan-2025</t>
  </si>
  <si>
    <t xml:space="preserve">Laptop A15 </t>
  </si>
  <si>
    <t xml:space="preserve"> COMPUTERS </t>
  </si>
  <si>
    <t>Chika Mart</t>
  </si>
  <si>
    <t xml:space="preserve">11-JAN-2025 </t>
  </si>
  <si>
    <t xml:space="preserve">Chinedu Nwosu </t>
  </si>
  <si>
    <t xml:space="preserve"> TOLA VENTURES</t>
  </si>
  <si>
    <t xml:space="preserve"> Tv 43Q </t>
  </si>
  <si>
    <t xml:space="preserve"> ELECTRONICS	</t>
  </si>
  <si>
    <t xml:space="preserve">Chinedu  Nwosu </t>
  </si>
  <si>
    <t xml:space="preserve">Omega  Wholesale </t>
  </si>
  <si>
    <t xml:space="preserve"> 14-jan-2025 </t>
  </si>
  <si>
    <t xml:space="preserve"> monitor m24</t>
  </si>
  <si>
    <t xml:space="preserve">PERIPHERALS </t>
  </si>
  <si>
    <t>29-May-2025</t>
  </si>
  <si>
    <t>PHONE  X12</t>
  </si>
  <si>
    <t xml:space="preserve">15-MAR-2025 </t>
  </si>
  <si>
    <t>Camer aC100</t>
  </si>
  <si>
    <t>AISHA BELLO</t>
  </si>
  <si>
    <t xml:space="preserve"> Jide Superstores   </t>
  </si>
  <si>
    <t>26-Mar-2025</t>
  </si>
  <si>
    <t xml:space="preserve">EAST  </t>
  </si>
  <si>
    <t xml:space="preserve">audio  </t>
  </si>
  <si>
    <t>GRACE AMOS</t>
  </si>
  <si>
    <t xml:space="preserve">Adewale  Stores  </t>
  </si>
  <si>
    <t>12-jan-2025</t>
  </si>
  <si>
    <t xml:space="preserve"> NORTH</t>
  </si>
  <si>
    <t>tv 43q</t>
  </si>
  <si>
    <t xml:space="preserve">  Electronics </t>
  </si>
  <si>
    <t xml:space="preserve"> 23-Jan-2025 </t>
  </si>
  <si>
    <t xml:space="preserve">  tv 43q</t>
  </si>
  <si>
    <t xml:space="preserve">  fola balogun</t>
  </si>
  <si>
    <t xml:space="preserve">  05-May-2025 </t>
  </si>
  <si>
    <t xml:space="preserve">Tv 43Q  </t>
  </si>
  <si>
    <t xml:space="preserve"> ELECTRONICS </t>
  </si>
  <si>
    <t>ifeanyi  okafor</t>
  </si>
  <si>
    <t>19-May-2025</t>
  </si>
  <si>
    <t xml:space="preserve"> SOUTH </t>
  </si>
  <si>
    <t>SPEAKER S10</t>
  </si>
  <si>
    <t xml:space="preserve">  Audio </t>
  </si>
  <si>
    <t xml:space="preserve">aisha bello   </t>
  </si>
  <si>
    <t xml:space="preserve">  EAST</t>
  </si>
  <si>
    <t>TABLET  T8</t>
  </si>
  <si>
    <t xml:space="preserve"> FOLA BALOGUN  </t>
  </si>
  <si>
    <t xml:space="preserve"> Musa Enterprises</t>
  </si>
  <si>
    <t xml:space="preserve"> 26-feb-2025</t>
  </si>
  <si>
    <t xml:space="preserve"> South</t>
  </si>
  <si>
    <t xml:space="preserve"> Peripherals</t>
  </si>
  <si>
    <t xml:space="preserve">Grace Amos </t>
  </si>
  <si>
    <t>femi tech</t>
  </si>
  <si>
    <t xml:space="preserve"> 03-jun-2025</t>
  </si>
  <si>
    <t xml:space="preserve"> adewale stores </t>
  </si>
  <si>
    <t xml:space="preserve">05-apr-2025 </t>
  </si>
  <si>
    <t xml:space="preserve"> COMPUTERS</t>
  </si>
  <si>
    <t xml:space="preserve"> Chinedu Nwosu </t>
  </si>
  <si>
    <t>30-JAN-2025</t>
  </si>
  <si>
    <t>MONITOR  M24</t>
  </si>
  <si>
    <t xml:space="preserve">Perpiherals  </t>
  </si>
  <si>
    <t xml:space="preserve"> 31-Jan-2025 </t>
  </si>
  <si>
    <t xml:space="preserve"> North </t>
  </si>
  <si>
    <t xml:space="preserve">laptop a15 </t>
  </si>
  <si>
    <t xml:space="preserve"> Comupters</t>
  </si>
  <si>
    <t xml:space="preserve"> AISHA BELLO </t>
  </si>
  <si>
    <t xml:space="preserve">OMEGA WHOLESALE </t>
  </si>
  <si>
    <t xml:space="preserve">Aisha Bello </t>
  </si>
  <si>
    <t xml:space="preserve">Alpha Retailers </t>
  </si>
  <si>
    <t xml:space="preserve"> 13-FEB-2025 </t>
  </si>
  <si>
    <t xml:space="preserve"> Laptop A15</t>
  </si>
  <si>
    <t>Omega  Wholesale</t>
  </si>
  <si>
    <t xml:space="preserve">Laptop  A15 	</t>
  </si>
  <si>
    <t xml:space="preserve">  Computers </t>
  </si>
  <si>
    <t xml:space="preserve">  west</t>
  </si>
  <si>
    <t xml:space="preserve">Speaker  S10 </t>
  </si>
  <si>
    <t>AUDIO</t>
  </si>
  <si>
    <t>FEMI  TECH</t>
  </si>
  <si>
    <t>19-Feb-2025</t>
  </si>
  <si>
    <t xml:space="preserve">Laptop A15  </t>
  </si>
  <si>
    <t>Mary  John</t>
  </si>
  <si>
    <t xml:space="preserve">TOEP &amp; SONS </t>
  </si>
  <si>
    <t xml:space="preserve">10-Apr-2025 </t>
  </si>
  <si>
    <t xml:space="preserve">East </t>
  </si>
  <si>
    <t>Mary John</t>
  </si>
  <si>
    <t xml:space="preserve"> Kelvin Tech</t>
  </si>
  <si>
    <t xml:space="preserve"> 21-May-2025</t>
  </si>
  <si>
    <t xml:space="preserve">GRACE AMOS   </t>
  </si>
  <si>
    <t xml:space="preserve"> MUSA ENTERPRISES </t>
  </si>
  <si>
    <t>26-jun-2025</t>
  </si>
  <si>
    <t xml:space="preserve">Camera C100   </t>
  </si>
  <si>
    <t xml:space="preserve">  Photography</t>
  </si>
  <si>
    <t xml:space="preserve">Bright Solutions  </t>
  </si>
  <si>
    <t xml:space="preserve"> 20-feb-2025</t>
  </si>
  <si>
    <t xml:space="preserve">  South</t>
  </si>
  <si>
    <t xml:space="preserve">  Peter Obi</t>
  </si>
  <si>
    <t xml:space="preserve"> TOLA VENTURES </t>
  </si>
  <si>
    <t xml:space="preserve">camera  c100 </t>
  </si>
  <si>
    <t xml:space="preserve">Photography  </t>
  </si>
  <si>
    <t xml:space="preserve"> IFEANYI OKAFOR </t>
  </si>
  <si>
    <t xml:space="preserve">  emeka traders </t>
  </si>
  <si>
    <t xml:space="preserve"> 05-Feb-2025 </t>
  </si>
  <si>
    <t xml:space="preserve">  07-Jun-2025</t>
  </si>
  <si>
    <t xml:space="preserve"> peter obi </t>
  </si>
  <si>
    <t>femi  tech</t>
  </si>
  <si>
    <t xml:space="preserve">  13-May-2025 </t>
  </si>
  <si>
    <t xml:space="preserve"> WEST</t>
  </si>
  <si>
    <t xml:space="preserve">TABLET T8 </t>
  </si>
  <si>
    <t xml:space="preserve"> Mobile  </t>
  </si>
  <si>
    <t xml:space="preserve">grace amos	</t>
  </si>
  <si>
    <t>ALPHA RETAILERS</t>
  </si>
  <si>
    <t>Capstone project</t>
  </si>
  <si>
    <t>Praise Odunayo</t>
  </si>
  <si>
    <t>Aba Joel</t>
  </si>
  <si>
    <t>Job Austin</t>
  </si>
  <si>
    <t xml:space="preserve">24-apr-2025	</t>
  </si>
  <si>
    <t xml:space="preserve">  27-Jun-2025</t>
  </si>
  <si>
    <t xml:space="preserve"> 04-Apr-2025</t>
  </si>
  <si>
    <t xml:space="preserve"> east</t>
  </si>
  <si>
    <t xml:space="preserve"> south</t>
  </si>
  <si>
    <t>Camera C100</t>
  </si>
  <si>
    <t xml:space="preserve"> MONITOR M24</t>
  </si>
  <si>
    <t xml:space="preserve">  mobile</t>
  </si>
  <si>
    <t xml:space="preserve"> COMPUTer</t>
  </si>
  <si>
    <t xml:space="preserve"> Audio</t>
  </si>
  <si>
    <t xml:space="preserve"> mobile</t>
  </si>
  <si>
    <t xml:space="preserve">  aisha bello </t>
  </si>
  <si>
    <t xml:space="preserve">  Grace Amos </t>
  </si>
  <si>
    <t xml:space="preserve"> MARY JOHN </t>
  </si>
  <si>
    <t xml:space="preserve">IFEANYI OKAFOR 	</t>
  </si>
  <si>
    <t xml:space="preserve">Tope &amp; Sons </t>
  </si>
  <si>
    <t xml:space="preserve">JIDE SUPERSTORES </t>
  </si>
  <si>
    <t xml:space="preserve">femi  tech </t>
  </si>
  <si>
    <t>Sale Rep</t>
  </si>
  <si>
    <t>Customers</t>
  </si>
  <si>
    <t>Core KPIs</t>
  </si>
  <si>
    <t>Total sales</t>
  </si>
  <si>
    <t>Sum of Total sales</t>
  </si>
  <si>
    <t>Sum of Units Sold</t>
  </si>
  <si>
    <t>Row Labels</t>
  </si>
  <si>
    <t>Number of Transactions</t>
  </si>
  <si>
    <t>Average of Unit Price</t>
  </si>
  <si>
    <t xml:space="preserve">REGIONAL PERFORMANCE </t>
  </si>
  <si>
    <t>Total Sales by Region</t>
  </si>
  <si>
    <t>Units Sold by Region</t>
  </si>
  <si>
    <t xml:space="preserve">PRODUCT PERFORMANCE </t>
  </si>
  <si>
    <t>Total Sales by Product</t>
  </si>
  <si>
    <t>CAMERA C010</t>
  </si>
  <si>
    <t>MONITOR M24</t>
  </si>
  <si>
    <t>UNKNOWN</t>
  </si>
  <si>
    <t>CAMER AC100</t>
  </si>
  <si>
    <t>Units Sold by Product</t>
  </si>
  <si>
    <t>SALES TREND (WHEN)</t>
  </si>
  <si>
    <t>Monthly Sales Trend</t>
  </si>
  <si>
    <t>Column1</t>
  </si>
  <si>
    <t>Proper Date</t>
  </si>
  <si>
    <t>Feb</t>
  </si>
  <si>
    <t>Apr</t>
  </si>
  <si>
    <t>Jun</t>
  </si>
  <si>
    <t>May</t>
  </si>
  <si>
    <t>Mar</t>
  </si>
  <si>
    <t>Jan</t>
  </si>
  <si>
    <t>SALES REP PERFORMANCE (WHO)</t>
  </si>
  <si>
    <t>Sales by Sales Rep</t>
  </si>
  <si>
    <t>Grace Amos</t>
  </si>
  <si>
    <t xml:space="preserve">Grace Amos	</t>
  </si>
  <si>
    <t>Ifeanyi Okafor</t>
  </si>
  <si>
    <t xml:space="preserve">Ifeanyi Okafor 	</t>
  </si>
  <si>
    <t xml:space="preserve">Mary John 	</t>
  </si>
  <si>
    <t>CUSTOMER INSIGHTS (WHO BUYS)</t>
  </si>
  <si>
    <t>Top Customers by Sales</t>
  </si>
  <si>
    <t>Adewale Stores</t>
  </si>
  <si>
    <t>Bright Solutions</t>
  </si>
  <si>
    <t>Emeka Traders</t>
  </si>
  <si>
    <t>Jide Superstores</t>
  </si>
  <si>
    <t>Kelvin Tech</t>
  </si>
  <si>
    <t>Toep &amp; Sons</t>
  </si>
  <si>
    <t>Tola Ventures</t>
  </si>
  <si>
    <t>Tope &amp; Sons</t>
  </si>
  <si>
    <t>Zainab Global</t>
  </si>
  <si>
    <t>Repeat Customers</t>
  </si>
  <si>
    <t>Count of Date</t>
  </si>
  <si>
    <t xml:space="preserve">BRIGht  SOLUTIONS </t>
  </si>
  <si>
    <t>chika  mart</t>
  </si>
  <si>
    <t xml:space="preserve"> Jide Superstores </t>
  </si>
  <si>
    <t xml:space="preserve">Kelvin Tech	</t>
  </si>
  <si>
    <t xml:space="preserve">Alpha Retailers	</t>
  </si>
  <si>
    <t xml:space="preserve"> Zainab Global</t>
  </si>
  <si>
    <t>Speaker S10</t>
  </si>
  <si>
    <t>Sum of Total sales2</t>
  </si>
  <si>
    <t>Sum of Units Sold2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</si>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</sst>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₦-468]\ #,##0.00"/>
    <numFmt numFmtId="165" formatCode="\₦#,##0,,&quot;M&quot;"/>
    <numFmt numFmtId="166" formatCode="\₦#,##0.0,&quot;K&quot;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3BCE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2" xfId="0" applyFont="1" applyFill="1" applyBorder="1"/>
    <xf numFmtId="0" fontId="3" fillId="3" borderId="2" xfId="0" applyFont="1" applyFill="1" applyBorder="1"/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  <xf numFmtId="2" fontId="1" fillId="2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164" fontId="0" fillId="0" borderId="0" xfId="0" applyNumberFormat="1"/>
    <xf numFmtId="0" fontId="6" fillId="0" borderId="0" xfId="0" applyFont="1"/>
    <xf numFmtId="0" fontId="1" fillId="2" borderId="3" xfId="0" applyFont="1" applyFill="1" applyBorder="1" applyAlignment="1">
      <alignment horizontal="center" vertical="top"/>
    </xf>
    <xf numFmtId="0" fontId="0" fillId="0" borderId="3" xfId="0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5" fillId="0" borderId="0" xfId="0" applyFont="1"/>
    <xf numFmtId="0" fontId="4" fillId="0" borderId="0" xfId="0" applyFont="1"/>
    <xf numFmtId="14" fontId="0" fillId="0" borderId="1" xfId="0" applyNumberFormat="1" applyBorder="1" applyAlignment="1">
      <alignment wrapText="1"/>
    </xf>
    <xf numFmtId="0" fontId="7" fillId="0" borderId="0" xfId="0" applyFont="1"/>
    <xf numFmtId="14" fontId="1" fillId="2" borderId="4" xfId="0" applyNumberFormat="1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2" fontId="1" fillId="2" borderId="4" xfId="0" applyNumberFormat="1" applyFont="1" applyFill="1" applyBorder="1" applyAlignment="1">
      <alignment horizontal="center" vertical="top"/>
    </xf>
    <xf numFmtId="164" fontId="1" fillId="2" borderId="4" xfId="0" applyNumberFormat="1" applyFont="1" applyFill="1" applyBorder="1" applyAlignment="1">
      <alignment horizontal="center" vertical="top"/>
    </xf>
    <xf numFmtId="0" fontId="0" fillId="4" borderId="0" xfId="0" applyFill="1"/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8">
    <dxf>
      <numFmt numFmtId="166" formatCode="\₦#,##0.0,&quot;K&quot;"/>
    </dxf>
    <dxf>
      <numFmt numFmtId="165" formatCode="\₦#,##0,,&quot;M&quot;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₦#,##0,,&quot;M&quot;"/>
    </dxf>
    <dxf>
      <numFmt numFmtId="165" formatCode="\₦#,##0,,&quot;M&quot;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₦#,##0,,&quot;M&quot;"/>
    </dxf>
    <dxf>
      <numFmt numFmtId="165" formatCode="\₦#,##0,,&quot;M&quot;"/>
    </dxf>
    <dxf>
      <numFmt numFmtId="165" formatCode="\₦#,##0,,&quot;M&quot;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₦#,##0,,&quot;M&quot;"/>
    </dxf>
    <dxf>
      <numFmt numFmtId="167" formatCode="_(* #,##0_);_(* \(#,##0\);_(* &quot;-&quot;??_);_(@_)"/>
    </dxf>
    <dxf>
      <numFmt numFmtId="0" formatCode="General"/>
    </dxf>
    <dxf>
      <numFmt numFmtId="0" formatCode="General"/>
    </dxf>
    <dxf>
      <numFmt numFmtId="166" formatCode="\₦#,##0.0,&quot;K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₦#,##0,,&quot;M&quot;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₦-468]\ #,##0.00"/>
    </dxf>
    <dxf>
      <numFmt numFmtId="2" formatCode="0.00"/>
    </dxf>
    <dxf>
      <numFmt numFmtId="168" formatCode="m/d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8" formatCode="m/d/yyyy"/>
    </dxf>
    <dxf>
      <border diagonalUp="0" diagonalDown="0">
        <bottom style="thin">
          <color indexed="64"/>
        </bottom>
      </border>
    </dxf>
    <dxf>
      <numFmt numFmtId="164" formatCode="[$₦-468]\ #,##0.00"/>
    </dxf>
    <dxf>
      <numFmt numFmtId="2" formatCode="0.00"/>
    </dxf>
    <dxf>
      <numFmt numFmtId="168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0C5DA"/>
      <color rgb="FF387183"/>
      <color rgb="FF99C3CF"/>
      <color rgb="FF5B6E79"/>
      <color rgb="FF394958"/>
      <color rgb="FFABD1DC"/>
      <color rgb="FF4693A6"/>
      <color rgb="FF617683"/>
      <color rgb="FF1E3647"/>
      <color rgb="FFDAE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[di-lite electronic Repoort.xlsx]Calculations!PivotTable7</c:name>
    <c:fmtId val="5"/>
  </c:pivotSource>
  <c:chart>
    <c:autoTitleDeleted val="1"/>
    <c:pivotFmts>
      <c:pivotFmt>
        <c:idx val="0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BD1DC"/>
          </a:solidFill>
          <a:ln>
            <a:noFill/>
          </a:ln>
          <a:effectLst/>
        </c:spPr>
      </c:pivotFmt>
      <c:pivotFmt>
        <c:idx val="7"/>
        <c:spPr>
          <a:solidFill>
            <a:srgbClr val="ABD1DC"/>
          </a:solidFill>
          <a:ln>
            <a:noFill/>
          </a:ln>
          <a:effectLst/>
        </c:spPr>
      </c:pivotFmt>
      <c:pivotFmt>
        <c:idx val="8"/>
        <c:spPr>
          <a:solidFill>
            <a:srgbClr val="ABD1DC"/>
          </a:solidFill>
          <a:ln>
            <a:noFill/>
          </a:ln>
          <a:effectLst/>
        </c:spPr>
      </c:pivotFmt>
      <c:pivotFmt>
        <c:idx val="9"/>
        <c:spPr>
          <a:solidFill>
            <a:srgbClr val="ABD1DC"/>
          </a:solidFill>
          <a:ln>
            <a:noFill/>
          </a:ln>
          <a:effectLst/>
        </c:spPr>
      </c:pivotFmt>
      <c:pivotFmt>
        <c:idx val="10"/>
        <c:spPr>
          <a:solidFill>
            <a:srgbClr val="4693A6"/>
          </a:solidFill>
          <a:ln>
            <a:noFill/>
          </a:ln>
          <a:effectLst/>
        </c:spPr>
        <c:dLbl>
          <c:idx val="0"/>
          <c:layout>
            <c:manualLayout>
              <c:x val="4.2505129621679696E-2"/>
              <c:y val="1.3799990329140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ABD1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Calculations!$A$9:$A$12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Calculations!$B$9:$B$12</c:f>
              <c:numCache>
                <c:formatCode>\₦#,##0,,"M"</c:formatCode>
                <c:ptCount val="4"/>
                <c:pt idx="0">
                  <c:v>115542487</c:v>
                </c:pt>
                <c:pt idx="1">
                  <c:v>79518498</c:v>
                </c:pt>
                <c:pt idx="2">
                  <c:v>68129460</c:v>
                </c:pt>
                <c:pt idx="3">
                  <c:v>39490000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F-4CCD-A866-4B81DCF0C603}"/>
            </c:ext>
          </c:extLst>
        </c:ser>
        <c:ser>
          <c:idx val="1"/>
          <c:order val="1"/>
          <c:tx>
            <c:strRef>
              <c:f>Calculations!$C$8</c:f>
              <c:strCache>
                <c:ptCount val="1"/>
                <c:pt idx="0">
                  <c:v>Sum of Total sales2</c:v>
                </c:pt>
              </c:strCache>
            </c:strRef>
          </c:tx>
          <c:spPr>
            <a:solidFill>
              <a:srgbClr val="4693A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2505129621679696E-2"/>
                  <c:y val="1.37999903291406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8A-452D-A21A-930590CE0D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Calculations!$A$9:$A$12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Calculations!$C$9:$C$12</c:f>
              <c:numCache>
                <c:formatCode>\₦#,##0,,"M"</c:formatCode>
                <c:ptCount val="4"/>
                <c:pt idx="0">
                  <c:v>115542487</c:v>
                </c:pt>
                <c:pt idx="1">
                  <c:v>79518498</c:v>
                </c:pt>
                <c:pt idx="2">
                  <c:v>68129460</c:v>
                </c:pt>
                <c:pt idx="3">
                  <c:v>39490000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F-4CCD-A866-4B81DCF0C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4"/>
        <c:overlap val="24"/>
        <c:axId val="2048892288"/>
        <c:axId val="2048894688"/>
      </c:barChart>
      <c:catAx>
        <c:axId val="20488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61768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94688"/>
        <c:crosses val="autoZero"/>
        <c:auto val="1"/>
        <c:lblAlgn val="ctr"/>
        <c:lblOffset val="100"/>
        <c:noMultiLvlLbl val="0"/>
      </c:catAx>
      <c:valAx>
        <c:axId val="2048894688"/>
        <c:scaling>
          <c:orientation val="minMax"/>
        </c:scaling>
        <c:delete val="1"/>
        <c:axPos val="l"/>
        <c:numFmt formatCode="\₦#,##0,,&quot;M&quot;" sourceLinked="1"/>
        <c:majorTickMark val="none"/>
        <c:minorTickMark val="none"/>
        <c:tickLblPos val="nextTo"/>
        <c:crossAx val="20488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[di-lite electronic Repoort.xlsx]Calculations!PivotTable8</c:name>
    <c:fmtId val="4"/>
  </c:pivotSource>
  <c:chart>
    <c:autoTitleDeleted val="0"/>
    <c:pivotFmts>
      <c:pivotFmt>
        <c:idx val="0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BD1D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693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Calculations!$E$8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rgbClr val="ABD1DC"/>
            </a:solidFill>
            <a:ln>
              <a:noFill/>
            </a:ln>
            <a:effectLst/>
          </c:spPr>
          <c:invertIfNegative val="0"/>
          <c:cat>
            <c:strRef>
              <c:f>Calculations!$D$9:$D$12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Calculations!$E$9:$E$12</c:f>
              <c:numCache>
                <c:formatCode>General</c:formatCode>
                <c:ptCount val="4"/>
                <c:pt idx="0">
                  <c:v>430</c:v>
                </c:pt>
                <c:pt idx="1">
                  <c:v>196</c:v>
                </c:pt>
                <c:pt idx="2">
                  <c:v>292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4-48ED-AA59-186C68308BE2}"/>
            </c:ext>
          </c:extLst>
        </c:ser>
        <c:ser>
          <c:idx val="1"/>
          <c:order val="1"/>
          <c:tx>
            <c:strRef>
              <c:f>Calculations!$F$8</c:f>
              <c:strCache>
                <c:ptCount val="1"/>
                <c:pt idx="0">
                  <c:v>Sum of Units Sold2</c:v>
                </c:pt>
              </c:strCache>
            </c:strRef>
          </c:tx>
          <c:spPr>
            <a:solidFill>
              <a:srgbClr val="4693A6"/>
            </a:solidFill>
            <a:ln>
              <a:noFill/>
            </a:ln>
            <a:effectLst/>
          </c:spPr>
          <c:invertIfNegative val="0"/>
          <c:cat>
            <c:strRef>
              <c:f>Calculations!$D$9:$D$12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Calculations!$F$9:$F$12</c:f>
              <c:numCache>
                <c:formatCode>General</c:formatCode>
                <c:ptCount val="4"/>
                <c:pt idx="0">
                  <c:v>430</c:v>
                </c:pt>
                <c:pt idx="1">
                  <c:v>196</c:v>
                </c:pt>
                <c:pt idx="2">
                  <c:v>292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4-48ED-AA59-186C68308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927328"/>
        <c:axId val="2048925888"/>
      </c:barChart>
      <c:catAx>
        <c:axId val="20489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25888"/>
        <c:crosses val="autoZero"/>
        <c:auto val="1"/>
        <c:lblAlgn val="ctr"/>
        <c:lblOffset val="100"/>
        <c:noMultiLvlLbl val="0"/>
      </c:catAx>
      <c:valAx>
        <c:axId val="20489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2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[di-lite electronic Repoort.xlsx]Calculations!PivotTable10</c:name>
    <c:fmtId val="7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Calculations!$E$20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Calculations!$D$21:$D$24</c:f>
              <c:strCache>
                <c:ptCount val="4"/>
                <c:pt idx="0">
                  <c:v>LAPTOP A15</c:v>
                </c:pt>
                <c:pt idx="1">
                  <c:v>MONITOR M24</c:v>
                </c:pt>
                <c:pt idx="2">
                  <c:v>TABLET T8</c:v>
                </c:pt>
                <c:pt idx="3">
                  <c:v>TV 43Q</c:v>
                </c:pt>
              </c:strCache>
            </c:strRef>
          </c:cat>
          <c:val>
            <c:numRef>
              <c:f>Calculations!$E$21:$E$24</c:f>
              <c:numCache>
                <c:formatCode>General</c:formatCode>
                <c:ptCount val="4"/>
                <c:pt idx="0">
                  <c:v>191</c:v>
                </c:pt>
                <c:pt idx="1">
                  <c:v>166</c:v>
                </c:pt>
                <c:pt idx="2">
                  <c:v>226</c:v>
                </c:pt>
                <c:pt idx="3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C-43A6-A3A8-57507F883A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74"/>
        <c:axId val="438402319"/>
        <c:axId val="438402799"/>
      </c:barChart>
      <c:catAx>
        <c:axId val="43840231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8402799"/>
        <c:crosses val="autoZero"/>
        <c:auto val="1"/>
        <c:lblAlgn val="ctr"/>
        <c:lblOffset val="100"/>
        <c:noMultiLvlLbl val="0"/>
      </c:catAx>
      <c:valAx>
        <c:axId val="438402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840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[di-lite electronic Repoort.xlsx]Calculations!PivotTable6</c:name>
    <c:fmtId val="2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6057805365822612"/>
              <c:y val="-5.31657927103419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6589618248754676"/>
              <c:y val="-2.1266107769992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476900967777594"/>
                  <c:h val="5.3086253335420885E-2"/>
                </c:manualLayout>
              </c15:layout>
            </c:ext>
          </c:extLst>
        </c:dLbl>
      </c:pivotFmt>
      <c:pivotFmt>
        <c:idx val="5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658959731206390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7653181204546456"/>
              <c:y val="-1.5949737813102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dLbl>
          <c:idx val="0"/>
          <c:layout>
            <c:manualLayout>
              <c:x val="0.26589597312063901"/>
              <c:y val="-1.06331585420684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39495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136102838251492E-2"/>
          <c:y val="5.037201695637554E-2"/>
          <c:w val="0.88980038250389781"/>
          <c:h val="0.8768684029955264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Calculations!$E$39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693-4FE9-9879-35A8A04A24CE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93-4FE9-9879-35A8A04A24CE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93-4FE9-9879-35A8A04A24CE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93-4FE9-9879-35A8A04A24CE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3-4FE9-9879-35A8A04A24CE}"/>
              </c:ext>
            </c:extLst>
          </c:dPt>
          <c:dLbls>
            <c:dLbl>
              <c:idx val="0"/>
              <c:layout>
                <c:manualLayout>
                  <c:x val="0.27653181204546456"/>
                  <c:y val="-1.5949737813102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93-4FE9-9879-35A8A04A24CE}"/>
                </c:ext>
              </c:extLst>
            </c:dLbl>
            <c:dLbl>
              <c:idx val="1"/>
              <c:layout>
                <c:manualLayout>
                  <c:x val="0.26589597312063901"/>
                  <c:y val="-1.06331585420684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93-4FE9-9879-35A8A04A24CE}"/>
                </c:ext>
              </c:extLst>
            </c:dLbl>
            <c:dLbl>
              <c:idx val="2"/>
              <c:layout>
                <c:manualLayout>
                  <c:x val="0.2658959731206390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93-4FE9-9879-35A8A04A24CE}"/>
                </c:ext>
              </c:extLst>
            </c:dLbl>
            <c:dLbl>
              <c:idx val="3"/>
              <c:layout>
                <c:manualLayout>
                  <c:x val="0.26589618248754676"/>
                  <c:y val="-2.1266107769992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39495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76900967777594"/>
                      <c:h val="5.30862533354208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693-4FE9-9879-35A8A04A24CE}"/>
                </c:ext>
              </c:extLst>
            </c:dLbl>
            <c:dLbl>
              <c:idx val="4"/>
              <c:layout>
                <c:manualLayout>
                  <c:x val="0.26057805365822612"/>
                  <c:y val="-5.316579271034199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93-4FE9-9879-35A8A04A2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9495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Calculations!$D$40:$D$44</c:f>
              <c:strCache>
                <c:ptCount val="5"/>
                <c:pt idx="0">
                  <c:v>Omega Wholesale</c:v>
                </c:pt>
                <c:pt idx="1">
                  <c:v>Bright Solutions</c:v>
                </c:pt>
                <c:pt idx="2">
                  <c:v>Femi Tech</c:v>
                </c:pt>
                <c:pt idx="3">
                  <c:v>Musa Enterprises</c:v>
                </c:pt>
                <c:pt idx="4">
                  <c:v>Jide Superstores</c:v>
                </c:pt>
              </c:strCache>
            </c:strRef>
          </c:cat>
          <c:val>
            <c:numRef>
              <c:f>Calculations!$E$40:$E$44</c:f>
              <c:numCache>
                <c:formatCode>\₦#,##0,,"M"</c:formatCode>
                <c:ptCount val="5"/>
                <c:pt idx="0">
                  <c:v>89559500</c:v>
                </c:pt>
                <c:pt idx="1">
                  <c:v>31715000</c:v>
                </c:pt>
                <c:pt idx="2">
                  <c:v>31117487</c:v>
                </c:pt>
                <c:pt idx="3">
                  <c:v>27191113</c:v>
                </c:pt>
                <c:pt idx="4">
                  <c:v>23270000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3-4FE9-9879-35A8A04A24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9510927"/>
        <c:axId val="1672970447"/>
      </c:barChart>
      <c:catAx>
        <c:axId val="16795109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970447"/>
        <c:crosses val="autoZero"/>
        <c:auto val="1"/>
        <c:lblAlgn val="ctr"/>
        <c:lblOffset val="100"/>
        <c:noMultiLvlLbl val="0"/>
      </c:catAx>
      <c:valAx>
        <c:axId val="167297044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6795109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[di-lite electronic Repoort.xlsx]Calculations!PivotTable11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99C3CF"/>
            </a:solidFill>
            <a:round/>
          </a:ln>
          <a:effectLst/>
        </c:spPr>
        <c:marker>
          <c:symbol val="circle"/>
          <c:size val="5"/>
          <c:spPr>
            <a:solidFill>
              <a:srgbClr val="3871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Calculations!$B$39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9C3C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87183"/>
              </a:solidFill>
              <a:ln w="9525">
                <a:noFill/>
              </a:ln>
              <a:effectLst/>
            </c:spPr>
          </c:marker>
          <c:cat>
            <c:strRef>
              <c:f>Calculations!$A$40:$A$45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Calculations!$B$40:$B$45</c:f>
              <c:numCache>
                <c:formatCode>\₦#,##0,,"M"</c:formatCode>
                <c:ptCount val="6"/>
                <c:pt idx="0">
                  <c:v>57202856</c:v>
                </c:pt>
                <c:pt idx="1">
                  <c:v>124284591</c:v>
                </c:pt>
                <c:pt idx="2">
                  <c:v>18545000</c:v>
                </c:pt>
                <c:pt idx="3">
                  <c:v>24620000</c:v>
                </c:pt>
                <c:pt idx="4">
                  <c:v>31856113</c:v>
                </c:pt>
                <c:pt idx="5">
                  <c:v>46171885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39-4870-BECB-AC174F92B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197727"/>
        <c:axId val="1673196767"/>
      </c:lineChart>
      <c:catAx>
        <c:axId val="167319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96767"/>
        <c:crosses val="autoZero"/>
        <c:auto val="1"/>
        <c:lblAlgn val="ctr"/>
        <c:lblOffset val="100"/>
        <c:noMultiLvlLbl val="0"/>
      </c:catAx>
      <c:valAx>
        <c:axId val="167319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\₦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9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chart" Target="../charts/chart4.xml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2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25400</xdr:rowOff>
    </xdr:from>
    <xdr:to>
      <xdr:col>14</xdr:col>
      <xdr:colOff>19050</xdr:colOff>
      <xdr:row>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BDE3F9-747E-F89B-1A42-02FEE20405A0}"/>
            </a:ext>
          </a:extLst>
        </xdr:cNvPr>
        <xdr:cNvSpPr txBox="1"/>
      </xdr:nvSpPr>
      <xdr:spPr>
        <a:xfrm>
          <a:off x="241300" y="825500"/>
          <a:ext cx="7943850" cy="11049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ysDash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D-Lite Electronics Ltd. operates across four major regions in Nigeria: North, South, East, and West. The company’s sales data is inconsistent and often contains errors. As a Data Analyst, your task is to clean, analyse, and visualise the data to support management decision-making leveraging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the concepts learnt during the training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89728</xdr:colOff>
      <xdr:row>4</xdr:row>
      <xdr:rowOff>103534</xdr:rowOff>
    </xdr:from>
    <xdr:to>
      <xdr:col>73</xdr:col>
      <xdr:colOff>202117</xdr:colOff>
      <xdr:row>42</xdr:row>
      <xdr:rowOff>42134</xdr:rowOff>
    </xdr:to>
    <xdr:grpSp>
      <xdr:nvGrpSpPr>
        <xdr:cNvPr id="310" name="Group 309">
          <a:extLst>
            <a:ext uri="{FF2B5EF4-FFF2-40B4-BE49-F238E27FC236}">
              <a16:creationId xmlns:a16="http://schemas.microsoft.com/office/drawing/2014/main" id="{E5FD9A45-8050-CF13-1EC4-C6DE08B101EA}"/>
            </a:ext>
          </a:extLst>
        </xdr:cNvPr>
        <xdr:cNvGrpSpPr/>
      </xdr:nvGrpSpPr>
      <xdr:grpSpPr>
        <a:xfrm>
          <a:off x="33588279" y="839766"/>
          <a:ext cx="13640650" cy="6932803"/>
          <a:chOff x="-401837" y="-162232"/>
          <a:chExt cx="12715757" cy="7020231"/>
        </a:xfrm>
      </xdr:grpSpPr>
      <xdr:sp macro="" textlink="">
        <xdr:nvSpPr>
          <xdr:cNvPr id="311" name="Rectangle 310">
            <a:extLst>
              <a:ext uri="{FF2B5EF4-FFF2-40B4-BE49-F238E27FC236}">
                <a16:creationId xmlns:a16="http://schemas.microsoft.com/office/drawing/2014/main" id="{C4F2DF52-66F9-F9B0-4C0E-5501582C3212}"/>
              </a:ext>
            </a:extLst>
          </xdr:cNvPr>
          <xdr:cNvSpPr/>
        </xdr:nvSpPr>
        <xdr:spPr>
          <a:xfrm>
            <a:off x="2209781" y="629192"/>
            <a:ext cx="10101580" cy="6228807"/>
          </a:xfrm>
          <a:prstGeom prst="rect">
            <a:avLst/>
          </a:prstGeom>
          <a:solidFill>
            <a:srgbClr val="D3E1E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12" name="Rectangle: Top Corners Rounded 311">
            <a:extLst>
              <a:ext uri="{FF2B5EF4-FFF2-40B4-BE49-F238E27FC236}">
                <a16:creationId xmlns:a16="http://schemas.microsoft.com/office/drawing/2014/main" id="{0F3BA42D-1DA2-BC1B-2CAD-CCC34ECDF719}"/>
              </a:ext>
            </a:extLst>
          </xdr:cNvPr>
          <xdr:cNvSpPr/>
        </xdr:nvSpPr>
        <xdr:spPr>
          <a:xfrm rot="16200000">
            <a:off x="-2085080" y="2549380"/>
            <a:ext cx="6257925" cy="2228850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5196A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13" name="Rectangle 312">
            <a:extLst>
              <a:ext uri="{FF2B5EF4-FFF2-40B4-BE49-F238E27FC236}">
                <a16:creationId xmlns:a16="http://schemas.microsoft.com/office/drawing/2014/main" id="{7FA74616-17A3-6C1D-BF06-53C201036575}"/>
              </a:ext>
            </a:extLst>
          </xdr:cNvPr>
          <xdr:cNvSpPr/>
        </xdr:nvSpPr>
        <xdr:spPr>
          <a:xfrm>
            <a:off x="2183218" y="4106"/>
            <a:ext cx="10128144" cy="604983"/>
          </a:xfrm>
          <a:prstGeom prst="rect">
            <a:avLst/>
          </a:prstGeom>
          <a:solidFill>
            <a:srgbClr val="E9EEF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14" name="Rectangle: Top Corners Rounded 313">
            <a:extLst>
              <a:ext uri="{FF2B5EF4-FFF2-40B4-BE49-F238E27FC236}">
                <a16:creationId xmlns:a16="http://schemas.microsoft.com/office/drawing/2014/main" id="{88F42829-EF4A-3382-2B48-606EA09D9BBA}"/>
              </a:ext>
            </a:extLst>
          </xdr:cNvPr>
          <xdr:cNvSpPr/>
        </xdr:nvSpPr>
        <xdr:spPr>
          <a:xfrm>
            <a:off x="714968" y="1"/>
            <a:ext cx="1494813" cy="600073"/>
          </a:xfrm>
          <a:prstGeom prst="round2SameRect">
            <a:avLst>
              <a:gd name="adj1" fmla="val 14286"/>
              <a:gd name="adj2" fmla="val 2381"/>
            </a:avLst>
          </a:prstGeom>
          <a:solidFill>
            <a:srgbClr val="39738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315" name="Picture 314">
            <a:extLst>
              <a:ext uri="{FF2B5EF4-FFF2-40B4-BE49-F238E27FC236}">
                <a16:creationId xmlns:a16="http://schemas.microsoft.com/office/drawing/2014/main" id="{FBE42A40-D5D2-1B94-8E41-4558FEB2D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401837" y="-162232"/>
            <a:ext cx="1714499" cy="1142999"/>
          </a:xfrm>
          <a:prstGeom prst="rect">
            <a:avLst/>
          </a:prstGeom>
        </xdr:spPr>
      </xdr:pic>
      <xdr:sp macro="" textlink="">
        <xdr:nvSpPr>
          <xdr:cNvPr id="316" name="TextBox 19">
            <a:extLst>
              <a:ext uri="{FF2B5EF4-FFF2-40B4-BE49-F238E27FC236}">
                <a16:creationId xmlns:a16="http://schemas.microsoft.com/office/drawing/2014/main" id="{076BF351-9F6C-3222-3185-AA951394E1D6}"/>
              </a:ext>
            </a:extLst>
          </xdr:cNvPr>
          <xdr:cNvSpPr txBox="1"/>
        </xdr:nvSpPr>
        <xdr:spPr>
          <a:xfrm>
            <a:off x="954325" y="221227"/>
            <a:ext cx="1092375" cy="3788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B4CBD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D- Lite</a:t>
            </a:r>
          </a:p>
        </xdr:txBody>
      </xdr:sp>
      <xdr:sp macro="" textlink="">
        <xdr:nvSpPr>
          <xdr:cNvPr id="317" name="TextBox 20">
            <a:extLst>
              <a:ext uri="{FF2B5EF4-FFF2-40B4-BE49-F238E27FC236}">
                <a16:creationId xmlns:a16="http://schemas.microsoft.com/office/drawing/2014/main" id="{A228BCFF-B608-C184-B534-C71887EE854A}"/>
              </a:ext>
            </a:extLst>
          </xdr:cNvPr>
          <xdr:cNvSpPr txBox="1"/>
        </xdr:nvSpPr>
        <xdr:spPr>
          <a:xfrm>
            <a:off x="90774" y="850612"/>
            <a:ext cx="1955926" cy="58477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 b="1">
                <a:solidFill>
                  <a:srgbClr val="B4CBD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Welcome to</a:t>
            </a:r>
          </a:p>
          <a:p>
            <a:pPr algn="ctr"/>
            <a:r>
              <a:rPr lang="en-US" b="1">
                <a:solidFill>
                  <a:srgbClr val="B4CBD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D-Lite Dashboard</a:t>
            </a:r>
          </a:p>
        </xdr:txBody>
      </xdr:sp>
      <xdr:sp macro="" textlink="">
        <xdr:nvSpPr>
          <xdr:cNvPr id="318" name="Rectangle: Rounded Corners 317">
            <a:extLst>
              <a:ext uri="{FF2B5EF4-FFF2-40B4-BE49-F238E27FC236}">
                <a16:creationId xmlns:a16="http://schemas.microsoft.com/office/drawing/2014/main" id="{D60AB1AE-1D0E-504C-04AF-3B6FECCD6D0A}"/>
              </a:ext>
            </a:extLst>
          </xdr:cNvPr>
          <xdr:cNvSpPr/>
        </xdr:nvSpPr>
        <xdr:spPr>
          <a:xfrm>
            <a:off x="139395" y="1905306"/>
            <a:ext cx="1815046" cy="584775"/>
          </a:xfrm>
          <a:prstGeom prst="roundRect">
            <a:avLst/>
          </a:prstGeom>
          <a:solidFill>
            <a:srgbClr val="7DB3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endParaRPr lang="en-US"/>
          </a:p>
        </xdr:txBody>
      </xdr:sp>
      <xdr:pic>
        <xdr:nvPicPr>
          <xdr:cNvPr id="319" name="Picture 318">
            <a:extLst>
              <a:ext uri="{FF2B5EF4-FFF2-40B4-BE49-F238E27FC236}">
                <a16:creationId xmlns:a16="http://schemas.microsoft.com/office/drawing/2014/main" id="{3D80C185-E6F3-042D-B355-4A9D773047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096" y="2083377"/>
            <a:ext cx="228632" cy="228632"/>
          </a:xfrm>
          <a:prstGeom prst="rect">
            <a:avLst/>
          </a:prstGeom>
        </xdr:spPr>
      </xdr:pic>
      <xdr:sp macro="" textlink="">
        <xdr:nvSpPr>
          <xdr:cNvPr id="320" name="TextBox 29">
            <a:extLst>
              <a:ext uri="{FF2B5EF4-FFF2-40B4-BE49-F238E27FC236}">
                <a16:creationId xmlns:a16="http://schemas.microsoft.com/office/drawing/2014/main" id="{07D0AB3C-919C-FA6E-513F-783D5CA5321A}"/>
              </a:ext>
            </a:extLst>
          </xdr:cNvPr>
          <xdr:cNvSpPr txBox="1"/>
        </xdr:nvSpPr>
        <xdr:spPr>
          <a:xfrm>
            <a:off x="649539" y="2013027"/>
            <a:ext cx="130490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Overview</a:t>
            </a:r>
          </a:p>
        </xdr:txBody>
      </xdr:sp>
      <xdr:sp macro="" textlink="">
        <xdr:nvSpPr>
          <xdr:cNvPr id="321" name="Rectangle: Rounded Corners 320">
            <a:extLst>
              <a:ext uri="{FF2B5EF4-FFF2-40B4-BE49-F238E27FC236}">
                <a16:creationId xmlns:a16="http://schemas.microsoft.com/office/drawing/2014/main" id="{DB72149F-7E71-40D4-C044-12959BEC0032}"/>
              </a:ext>
            </a:extLst>
          </xdr:cNvPr>
          <xdr:cNvSpPr/>
        </xdr:nvSpPr>
        <xdr:spPr>
          <a:xfrm>
            <a:off x="139395" y="2597802"/>
            <a:ext cx="1815046" cy="5847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endParaRPr lang="en-US"/>
          </a:p>
        </xdr:txBody>
      </xdr:sp>
      <xdr:pic>
        <xdr:nvPicPr>
          <xdr:cNvPr id="322" name="Picture 321">
            <a:extLst>
              <a:ext uri="{FF2B5EF4-FFF2-40B4-BE49-F238E27FC236}">
                <a16:creationId xmlns:a16="http://schemas.microsoft.com/office/drawing/2014/main" id="{51D462E3-8829-7CE3-18F4-55A93D805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096" y="2775873"/>
            <a:ext cx="228632" cy="228632"/>
          </a:xfrm>
          <a:prstGeom prst="rect">
            <a:avLst/>
          </a:prstGeom>
        </xdr:spPr>
      </xdr:pic>
      <xdr:sp macro="" textlink="">
        <xdr:nvSpPr>
          <xdr:cNvPr id="323" name="TextBox 35">
            <a:extLst>
              <a:ext uri="{FF2B5EF4-FFF2-40B4-BE49-F238E27FC236}">
                <a16:creationId xmlns:a16="http://schemas.microsoft.com/office/drawing/2014/main" id="{8C521E3A-08C7-0F4D-F886-7CCF3912A5F9}"/>
              </a:ext>
            </a:extLst>
          </xdr:cNvPr>
          <xdr:cNvSpPr txBox="1"/>
        </xdr:nvSpPr>
        <xdr:spPr>
          <a:xfrm>
            <a:off x="649539" y="2665049"/>
            <a:ext cx="1304902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Region</a:t>
            </a:r>
          </a:p>
          <a:p>
            <a:endParaRPr lang="en-US">
              <a:solidFill>
                <a:schemeClr val="bg1"/>
              </a:solidFill>
            </a:endParaRPr>
          </a:p>
        </xdr:txBody>
      </xdr:sp>
      <xdr:sp macro="" textlink="">
        <xdr:nvSpPr>
          <xdr:cNvPr id="324" name="Rectangle: Rounded Corners 323">
            <a:extLst>
              <a:ext uri="{FF2B5EF4-FFF2-40B4-BE49-F238E27FC236}">
                <a16:creationId xmlns:a16="http://schemas.microsoft.com/office/drawing/2014/main" id="{87D1E0F9-1ACD-758D-F25B-C5DA74F9AA0B}"/>
              </a:ext>
            </a:extLst>
          </xdr:cNvPr>
          <xdr:cNvSpPr/>
        </xdr:nvSpPr>
        <xdr:spPr>
          <a:xfrm>
            <a:off x="139395" y="3314176"/>
            <a:ext cx="1815046" cy="5847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endParaRPr lang="en-US"/>
          </a:p>
        </xdr:txBody>
      </xdr:sp>
      <xdr:sp macro="" textlink="">
        <xdr:nvSpPr>
          <xdr:cNvPr id="325" name="TextBox 50">
            <a:extLst>
              <a:ext uri="{FF2B5EF4-FFF2-40B4-BE49-F238E27FC236}">
                <a16:creationId xmlns:a16="http://schemas.microsoft.com/office/drawing/2014/main" id="{283044D7-BD8A-636F-85F7-765E9524AF29}"/>
              </a:ext>
            </a:extLst>
          </xdr:cNvPr>
          <xdr:cNvSpPr txBox="1"/>
        </xdr:nvSpPr>
        <xdr:spPr>
          <a:xfrm>
            <a:off x="609633" y="3241741"/>
            <a:ext cx="1304902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Products</a:t>
            </a:r>
          </a:p>
          <a:p>
            <a:endParaRPr lang="en-US">
              <a:solidFill>
                <a:schemeClr val="bg1"/>
              </a:solidFill>
            </a:endParaRPr>
          </a:p>
        </xdr:txBody>
      </xdr:sp>
      <xdr:sp macro="" textlink="">
        <xdr:nvSpPr>
          <xdr:cNvPr id="326" name="TextBox 51">
            <a:extLst>
              <a:ext uri="{FF2B5EF4-FFF2-40B4-BE49-F238E27FC236}">
                <a16:creationId xmlns:a16="http://schemas.microsoft.com/office/drawing/2014/main" id="{FA2009C2-7675-E1C2-7AFD-AF33531ED931}"/>
              </a:ext>
            </a:extLst>
          </xdr:cNvPr>
          <xdr:cNvSpPr txBox="1"/>
        </xdr:nvSpPr>
        <xdr:spPr>
          <a:xfrm>
            <a:off x="609633" y="3767780"/>
            <a:ext cx="1304902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Sales Reps</a:t>
            </a:r>
          </a:p>
          <a:p>
            <a:endParaRPr lang="en-US">
              <a:solidFill>
                <a:schemeClr val="bg1"/>
              </a:solidFill>
            </a:endParaRPr>
          </a:p>
        </xdr:txBody>
      </xdr:sp>
      <xdr:sp macro="" textlink="">
        <xdr:nvSpPr>
          <xdr:cNvPr id="327" name="TextBox 52">
            <a:extLst>
              <a:ext uri="{FF2B5EF4-FFF2-40B4-BE49-F238E27FC236}">
                <a16:creationId xmlns:a16="http://schemas.microsoft.com/office/drawing/2014/main" id="{75F065CD-B6E5-3928-B107-55DCB0D09A14}"/>
              </a:ext>
            </a:extLst>
          </xdr:cNvPr>
          <xdr:cNvSpPr txBox="1"/>
        </xdr:nvSpPr>
        <xdr:spPr>
          <a:xfrm>
            <a:off x="613736" y="4284951"/>
            <a:ext cx="1304902" cy="6463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Customers</a:t>
            </a:r>
          </a:p>
          <a:p>
            <a:endParaRPr lang="en-US">
              <a:solidFill>
                <a:schemeClr val="bg1"/>
              </a:solidFill>
            </a:endParaRPr>
          </a:p>
        </xdr:txBody>
      </xdr:sp>
      <xdr:sp macro="" textlink="">
        <xdr:nvSpPr>
          <xdr:cNvPr id="328" name="TextBox 53">
            <a:extLst>
              <a:ext uri="{FF2B5EF4-FFF2-40B4-BE49-F238E27FC236}">
                <a16:creationId xmlns:a16="http://schemas.microsoft.com/office/drawing/2014/main" id="{73A540F2-26E9-FA6A-440C-85E03AF59E59}"/>
              </a:ext>
            </a:extLst>
          </xdr:cNvPr>
          <xdr:cNvSpPr txBox="1"/>
        </xdr:nvSpPr>
        <xdr:spPr>
          <a:xfrm>
            <a:off x="741798" y="6313609"/>
            <a:ext cx="130490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>
                <a:solidFill>
                  <a:schemeClr val="bg1"/>
                </a:solidFill>
              </a:rPr>
              <a:t>Logout</a:t>
            </a:r>
          </a:p>
        </xdr:txBody>
      </xdr:sp>
      <xdr:pic>
        <xdr:nvPicPr>
          <xdr:cNvPr id="329" name="Picture 328">
            <a:extLst>
              <a:ext uri="{FF2B5EF4-FFF2-40B4-BE49-F238E27FC236}">
                <a16:creationId xmlns:a16="http://schemas.microsoft.com/office/drawing/2014/main" id="{E0DF8212-2D24-121F-CB92-2CFCDC8010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096" y="3332253"/>
            <a:ext cx="228632" cy="228632"/>
          </a:xfrm>
          <a:prstGeom prst="rect">
            <a:avLst/>
          </a:prstGeom>
        </xdr:spPr>
      </xdr:pic>
      <xdr:pic>
        <xdr:nvPicPr>
          <xdr:cNvPr id="330" name="Picture 329">
            <a:extLst>
              <a:ext uri="{FF2B5EF4-FFF2-40B4-BE49-F238E27FC236}">
                <a16:creationId xmlns:a16="http://schemas.microsoft.com/office/drawing/2014/main" id="{CAD0FFAA-2A4F-B50E-3CA0-9B55956CA9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096" y="3889721"/>
            <a:ext cx="228632" cy="228632"/>
          </a:xfrm>
          <a:prstGeom prst="rect">
            <a:avLst/>
          </a:prstGeom>
        </xdr:spPr>
      </xdr:pic>
      <xdr:pic>
        <xdr:nvPicPr>
          <xdr:cNvPr id="331" name="Picture 330">
            <a:extLst>
              <a:ext uri="{FF2B5EF4-FFF2-40B4-BE49-F238E27FC236}">
                <a16:creationId xmlns:a16="http://schemas.microsoft.com/office/drawing/2014/main" id="{D74370B3-F298-1FAB-2696-DF5D13D0B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4387" y="4374066"/>
            <a:ext cx="228632" cy="228632"/>
          </a:xfrm>
          <a:prstGeom prst="rect">
            <a:avLst/>
          </a:prstGeom>
        </xdr:spPr>
      </xdr:pic>
      <xdr:pic>
        <xdr:nvPicPr>
          <xdr:cNvPr id="332" name="Picture 331">
            <a:extLst>
              <a:ext uri="{FF2B5EF4-FFF2-40B4-BE49-F238E27FC236}">
                <a16:creationId xmlns:a16="http://schemas.microsoft.com/office/drawing/2014/main" id="{3EA7590E-4031-8124-A593-8C6F77C682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315112" y="6383959"/>
            <a:ext cx="228632" cy="228632"/>
          </a:xfrm>
          <a:prstGeom prst="rect">
            <a:avLst/>
          </a:prstGeom>
        </xdr:spPr>
      </xdr:pic>
      <xdr:sp macro="" textlink="">
        <xdr:nvSpPr>
          <xdr:cNvPr id="333" name="TextBox 62">
            <a:extLst>
              <a:ext uri="{FF2B5EF4-FFF2-40B4-BE49-F238E27FC236}">
                <a16:creationId xmlns:a16="http://schemas.microsoft.com/office/drawing/2014/main" id="{2BD94BC2-EC1F-C7B9-7F5B-105A09C430C5}"/>
              </a:ext>
            </a:extLst>
          </xdr:cNvPr>
          <xdr:cNvSpPr txBox="1"/>
        </xdr:nvSpPr>
        <xdr:spPr>
          <a:xfrm>
            <a:off x="2371326" y="100747"/>
            <a:ext cx="4203290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364A59"/>
                </a:solidFill>
              </a:rPr>
              <a:t>D-Lite Electronic Dashboard</a:t>
            </a:r>
            <a:endParaRPr lang="en-US" b="1">
              <a:solidFill>
                <a:srgbClr val="364A59"/>
              </a:solidFill>
            </a:endParaRPr>
          </a:p>
        </xdr:txBody>
      </xdr:sp>
      <xdr:pic>
        <xdr:nvPicPr>
          <xdr:cNvPr id="334" name="Picture 333">
            <a:extLst>
              <a:ext uri="{FF2B5EF4-FFF2-40B4-BE49-F238E27FC236}">
                <a16:creationId xmlns:a16="http://schemas.microsoft.com/office/drawing/2014/main" id="{2A81A82F-C6C0-EAC1-946A-50CACD444A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95402" y="180635"/>
            <a:ext cx="228632" cy="228632"/>
          </a:xfrm>
          <a:prstGeom prst="rect">
            <a:avLst/>
          </a:prstGeom>
        </xdr:spPr>
      </xdr:pic>
      <xdr:pic>
        <xdr:nvPicPr>
          <xdr:cNvPr id="335" name="Picture 334">
            <a:extLst>
              <a:ext uri="{FF2B5EF4-FFF2-40B4-BE49-F238E27FC236}">
                <a16:creationId xmlns:a16="http://schemas.microsoft.com/office/drawing/2014/main" id="{F193ACBB-CD48-6BCA-B3B2-14422F32D4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64095" y="180635"/>
            <a:ext cx="228632" cy="228632"/>
          </a:xfrm>
          <a:prstGeom prst="rect">
            <a:avLst/>
          </a:prstGeom>
        </xdr:spPr>
      </xdr:pic>
      <xdr:sp macro="" textlink="">
        <xdr:nvSpPr>
          <xdr:cNvPr id="336" name="Oval 335">
            <a:extLst>
              <a:ext uri="{FF2B5EF4-FFF2-40B4-BE49-F238E27FC236}">
                <a16:creationId xmlns:a16="http://schemas.microsoft.com/office/drawing/2014/main" id="{00FB0293-B31D-0748-B6FE-CBD8B628ED2C}"/>
              </a:ext>
            </a:extLst>
          </xdr:cNvPr>
          <xdr:cNvSpPr/>
        </xdr:nvSpPr>
        <xdr:spPr>
          <a:xfrm>
            <a:off x="11438894" y="100747"/>
            <a:ext cx="450952" cy="415287"/>
          </a:xfrm>
          <a:prstGeom prst="ellipse">
            <a:avLst/>
          </a:prstGeom>
          <a:noFill/>
          <a:ln w="50800">
            <a:solidFill>
              <a:srgbClr val="8CB5C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37" name="TextBox 69">
            <a:extLst>
              <a:ext uri="{FF2B5EF4-FFF2-40B4-BE49-F238E27FC236}">
                <a16:creationId xmlns:a16="http://schemas.microsoft.com/office/drawing/2014/main" id="{78C8440D-663B-9D3D-E515-A6A5C4E81E7E}"/>
              </a:ext>
            </a:extLst>
          </xdr:cNvPr>
          <xdr:cNvSpPr txBox="1"/>
        </xdr:nvSpPr>
        <xdr:spPr>
          <a:xfrm>
            <a:off x="11438894" y="146702"/>
            <a:ext cx="875026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>
                <a:solidFill>
                  <a:srgbClr val="397383"/>
                </a:solidFill>
              </a:rPr>
              <a:t>AO</a:t>
            </a:r>
            <a:endParaRPr lang="en-US" sz="1100">
              <a:solidFill>
                <a:srgbClr val="397383"/>
              </a:solidFill>
            </a:endParaRPr>
          </a:p>
        </xdr:txBody>
      </xdr:sp>
      <xdr:sp macro="" textlink="">
        <xdr:nvSpPr>
          <xdr:cNvPr id="338" name="TextBox 70">
            <a:extLst>
              <a:ext uri="{FF2B5EF4-FFF2-40B4-BE49-F238E27FC236}">
                <a16:creationId xmlns:a16="http://schemas.microsoft.com/office/drawing/2014/main" id="{0C011F95-CBF1-E6A0-8F4C-E2434740131C}"/>
              </a:ext>
            </a:extLst>
          </xdr:cNvPr>
          <xdr:cNvSpPr txBox="1"/>
        </xdr:nvSpPr>
        <xdr:spPr>
          <a:xfrm>
            <a:off x="2371326" y="796101"/>
            <a:ext cx="482003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/>
              <a:t>Sales Performance Dashboard</a:t>
            </a:r>
          </a:p>
        </xdr:txBody>
      </xdr:sp>
      <xdr:sp macro="" textlink="">
        <xdr:nvSpPr>
          <xdr:cNvPr id="339" name="Rectangle: Rounded Corners 338">
            <a:extLst>
              <a:ext uri="{FF2B5EF4-FFF2-40B4-BE49-F238E27FC236}">
                <a16:creationId xmlns:a16="http://schemas.microsoft.com/office/drawing/2014/main" id="{FD98EDC4-0C58-7512-60EC-D9F1288BD497}"/>
              </a:ext>
            </a:extLst>
          </xdr:cNvPr>
          <xdr:cNvSpPr/>
        </xdr:nvSpPr>
        <xdr:spPr>
          <a:xfrm>
            <a:off x="2517654" y="1283111"/>
            <a:ext cx="2228851" cy="102889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0" name="Rectangle: Rounded Corners 339">
            <a:extLst>
              <a:ext uri="{FF2B5EF4-FFF2-40B4-BE49-F238E27FC236}">
                <a16:creationId xmlns:a16="http://schemas.microsoft.com/office/drawing/2014/main" id="{97A8AB9D-A11F-6044-0EC0-3BE1B9E792CC}"/>
              </a:ext>
            </a:extLst>
          </xdr:cNvPr>
          <xdr:cNvSpPr/>
        </xdr:nvSpPr>
        <xdr:spPr>
          <a:xfrm>
            <a:off x="4962504" y="1283111"/>
            <a:ext cx="2228851" cy="102889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1" name="Rectangle: Rounded Corners 340">
            <a:extLst>
              <a:ext uri="{FF2B5EF4-FFF2-40B4-BE49-F238E27FC236}">
                <a16:creationId xmlns:a16="http://schemas.microsoft.com/office/drawing/2014/main" id="{C952A96B-4831-2360-3928-374611D54B61}"/>
              </a:ext>
            </a:extLst>
          </xdr:cNvPr>
          <xdr:cNvSpPr/>
        </xdr:nvSpPr>
        <xdr:spPr>
          <a:xfrm>
            <a:off x="7407354" y="1283111"/>
            <a:ext cx="2228851" cy="102889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2" name="Rectangle: Rounded Corners 341">
            <a:extLst>
              <a:ext uri="{FF2B5EF4-FFF2-40B4-BE49-F238E27FC236}">
                <a16:creationId xmlns:a16="http://schemas.microsoft.com/office/drawing/2014/main" id="{34C8AF61-66F7-5F71-A1A9-05284192ADC4}"/>
              </a:ext>
            </a:extLst>
          </xdr:cNvPr>
          <xdr:cNvSpPr/>
        </xdr:nvSpPr>
        <xdr:spPr>
          <a:xfrm>
            <a:off x="9852204" y="1283111"/>
            <a:ext cx="2228851" cy="102889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3" name="Rectangle: Rounded Corners 342">
            <a:extLst>
              <a:ext uri="{FF2B5EF4-FFF2-40B4-BE49-F238E27FC236}">
                <a16:creationId xmlns:a16="http://schemas.microsoft.com/office/drawing/2014/main" id="{4AA896B0-68DA-985D-19E5-4735A8F1C83D}"/>
              </a:ext>
            </a:extLst>
          </xdr:cNvPr>
          <xdr:cNvSpPr/>
        </xdr:nvSpPr>
        <xdr:spPr>
          <a:xfrm>
            <a:off x="2789729" y="1543108"/>
            <a:ext cx="530942" cy="469919"/>
          </a:xfrm>
          <a:prstGeom prst="roundRect">
            <a:avLst/>
          </a:prstGeom>
          <a:solidFill>
            <a:srgbClr val="BFE0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4" name="Rectangle: Rounded Corners 343">
            <a:extLst>
              <a:ext uri="{FF2B5EF4-FFF2-40B4-BE49-F238E27FC236}">
                <a16:creationId xmlns:a16="http://schemas.microsoft.com/office/drawing/2014/main" id="{D96BC40F-3A2D-1FB7-4098-C68D09DBA3AB}"/>
              </a:ext>
            </a:extLst>
          </xdr:cNvPr>
          <xdr:cNvSpPr/>
        </xdr:nvSpPr>
        <xdr:spPr>
          <a:xfrm>
            <a:off x="5193951" y="1543108"/>
            <a:ext cx="530942" cy="469919"/>
          </a:xfrm>
          <a:prstGeom prst="roundRect">
            <a:avLst/>
          </a:prstGeom>
          <a:solidFill>
            <a:srgbClr val="BFE0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5" name="Rectangle: Rounded Corners 344">
            <a:extLst>
              <a:ext uri="{FF2B5EF4-FFF2-40B4-BE49-F238E27FC236}">
                <a16:creationId xmlns:a16="http://schemas.microsoft.com/office/drawing/2014/main" id="{7F58BADF-BDAE-4185-BC9A-DB6CD582E2EA}"/>
              </a:ext>
            </a:extLst>
          </xdr:cNvPr>
          <xdr:cNvSpPr/>
        </xdr:nvSpPr>
        <xdr:spPr>
          <a:xfrm>
            <a:off x="7598173" y="1543108"/>
            <a:ext cx="530942" cy="469919"/>
          </a:xfrm>
          <a:prstGeom prst="roundRect">
            <a:avLst/>
          </a:prstGeom>
          <a:solidFill>
            <a:srgbClr val="BFE0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6" name="Rectangle: Rounded Corners 345">
            <a:extLst>
              <a:ext uri="{FF2B5EF4-FFF2-40B4-BE49-F238E27FC236}">
                <a16:creationId xmlns:a16="http://schemas.microsoft.com/office/drawing/2014/main" id="{204A6526-BC74-C585-0318-274E1606725F}"/>
              </a:ext>
            </a:extLst>
          </xdr:cNvPr>
          <xdr:cNvSpPr/>
        </xdr:nvSpPr>
        <xdr:spPr>
          <a:xfrm>
            <a:off x="10002395" y="1543108"/>
            <a:ext cx="530942" cy="469919"/>
          </a:xfrm>
          <a:prstGeom prst="roundRect">
            <a:avLst/>
          </a:prstGeom>
          <a:solidFill>
            <a:srgbClr val="BFE0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347" name="Picture 346">
            <a:extLst>
              <a:ext uri="{FF2B5EF4-FFF2-40B4-BE49-F238E27FC236}">
                <a16:creationId xmlns:a16="http://schemas.microsoft.com/office/drawing/2014/main" id="{6686EDAB-3C11-24E5-E363-3A3279FBB5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0884" y="1663751"/>
            <a:ext cx="228632" cy="228632"/>
          </a:xfrm>
          <a:prstGeom prst="rect">
            <a:avLst/>
          </a:prstGeom>
        </xdr:spPr>
      </xdr:pic>
      <xdr:pic>
        <xdr:nvPicPr>
          <xdr:cNvPr id="348" name="Picture 347">
            <a:extLst>
              <a:ext uri="{FF2B5EF4-FFF2-40B4-BE49-F238E27FC236}">
                <a16:creationId xmlns:a16="http://schemas.microsoft.com/office/drawing/2014/main" id="{F106CBB6-CB2E-11AB-D494-119589B040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2656" y="1663751"/>
            <a:ext cx="228632" cy="228632"/>
          </a:xfrm>
          <a:prstGeom prst="rect">
            <a:avLst/>
          </a:prstGeom>
        </xdr:spPr>
      </xdr:pic>
      <xdr:pic>
        <xdr:nvPicPr>
          <xdr:cNvPr id="349" name="Picture 348">
            <a:extLst>
              <a:ext uri="{FF2B5EF4-FFF2-40B4-BE49-F238E27FC236}">
                <a16:creationId xmlns:a16="http://schemas.microsoft.com/office/drawing/2014/main" id="{D46EE6DC-F5D4-8A29-EDCC-9DCFB22DCA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16268" y="1663751"/>
            <a:ext cx="228632" cy="228632"/>
          </a:xfrm>
          <a:prstGeom prst="rect">
            <a:avLst/>
          </a:prstGeom>
        </xdr:spPr>
      </xdr:pic>
      <xdr:pic>
        <xdr:nvPicPr>
          <xdr:cNvPr id="350" name="Picture 349">
            <a:extLst>
              <a:ext uri="{FF2B5EF4-FFF2-40B4-BE49-F238E27FC236}">
                <a16:creationId xmlns:a16="http://schemas.microsoft.com/office/drawing/2014/main" id="{B335661A-568E-0902-4AFA-9DAE8BC69B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53550" y="1663751"/>
            <a:ext cx="228632" cy="228632"/>
          </a:xfrm>
          <a:prstGeom prst="rect">
            <a:avLst/>
          </a:prstGeom>
        </xdr:spPr>
      </xdr:pic>
      <xdr:sp macro="" textlink="">
        <xdr:nvSpPr>
          <xdr:cNvPr id="351" name="TextBox 96">
            <a:extLst>
              <a:ext uri="{FF2B5EF4-FFF2-40B4-BE49-F238E27FC236}">
                <a16:creationId xmlns:a16="http://schemas.microsoft.com/office/drawing/2014/main" id="{C1B6EDB4-D843-797E-9CC1-EA72C243008F}"/>
              </a:ext>
            </a:extLst>
          </xdr:cNvPr>
          <xdr:cNvSpPr txBox="1"/>
        </xdr:nvSpPr>
        <xdr:spPr>
          <a:xfrm>
            <a:off x="3396249" y="1435387"/>
            <a:ext cx="1378842" cy="300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Total Revenue</a:t>
            </a:r>
          </a:p>
        </xdr:txBody>
      </xdr:sp>
      <xdr:sp macro="" textlink="">
        <xdr:nvSpPr>
          <xdr:cNvPr id="352" name="TextBox 97">
            <a:extLst>
              <a:ext uri="{FF2B5EF4-FFF2-40B4-BE49-F238E27FC236}">
                <a16:creationId xmlns:a16="http://schemas.microsoft.com/office/drawing/2014/main" id="{45F4DD0E-AFCC-8C57-D7A9-81AF1770F3CC}"/>
              </a:ext>
            </a:extLst>
          </xdr:cNvPr>
          <xdr:cNvSpPr txBox="1"/>
        </xdr:nvSpPr>
        <xdr:spPr>
          <a:xfrm>
            <a:off x="5848369" y="1435387"/>
            <a:ext cx="1339709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Total Unit Sold</a:t>
            </a:r>
          </a:p>
        </xdr:txBody>
      </xdr:sp>
      <xdr:sp macro="" textlink="">
        <xdr:nvSpPr>
          <xdr:cNvPr id="353" name="TextBox 98">
            <a:extLst>
              <a:ext uri="{FF2B5EF4-FFF2-40B4-BE49-F238E27FC236}">
                <a16:creationId xmlns:a16="http://schemas.microsoft.com/office/drawing/2014/main" id="{5437C6C2-B013-7F29-7EB3-8D8E4E31412B}"/>
              </a:ext>
            </a:extLst>
          </xdr:cNvPr>
          <xdr:cNvSpPr txBox="1"/>
        </xdr:nvSpPr>
        <xdr:spPr>
          <a:xfrm>
            <a:off x="8300491" y="1435387"/>
            <a:ext cx="11732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Transaction</a:t>
            </a:r>
          </a:p>
        </xdr:txBody>
      </xdr:sp>
      <xdr:sp macro="" textlink="">
        <xdr:nvSpPr>
          <xdr:cNvPr id="354" name="TextBox 99">
            <a:extLst>
              <a:ext uri="{FF2B5EF4-FFF2-40B4-BE49-F238E27FC236}">
                <a16:creationId xmlns:a16="http://schemas.microsoft.com/office/drawing/2014/main" id="{2D851BAF-6033-CD66-89D1-48B3557FC0DB}"/>
              </a:ext>
            </a:extLst>
          </xdr:cNvPr>
          <xdr:cNvSpPr txBox="1"/>
        </xdr:nvSpPr>
        <xdr:spPr>
          <a:xfrm>
            <a:off x="10529342" y="1410683"/>
            <a:ext cx="172020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Average Unit Price</a:t>
            </a:r>
          </a:p>
        </xdr:txBody>
      </xdr:sp>
      <xdr:sp macro="" textlink="">
        <xdr:nvSpPr>
          <xdr:cNvPr id="355" name="Rectangle: Rounded Corners 354">
            <a:extLst>
              <a:ext uri="{FF2B5EF4-FFF2-40B4-BE49-F238E27FC236}">
                <a16:creationId xmlns:a16="http://schemas.microsoft.com/office/drawing/2014/main" id="{DCEB9749-3BCA-B1A9-0846-C3AFC5CB4D60}"/>
              </a:ext>
            </a:extLst>
          </xdr:cNvPr>
          <xdr:cNvSpPr/>
        </xdr:nvSpPr>
        <xdr:spPr>
          <a:xfrm>
            <a:off x="2486080" y="2415031"/>
            <a:ext cx="4687965" cy="2112617"/>
          </a:xfrm>
          <a:prstGeom prst="roundRect">
            <a:avLst>
              <a:gd name="adj" fmla="val 89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56" name="Rectangle: Rounded Corners 355">
            <a:extLst>
              <a:ext uri="{FF2B5EF4-FFF2-40B4-BE49-F238E27FC236}">
                <a16:creationId xmlns:a16="http://schemas.microsoft.com/office/drawing/2014/main" id="{BCC37DFA-1BDA-E11A-2353-197461D38594}"/>
              </a:ext>
            </a:extLst>
          </xdr:cNvPr>
          <xdr:cNvSpPr/>
        </xdr:nvSpPr>
        <xdr:spPr>
          <a:xfrm>
            <a:off x="2499817" y="4644638"/>
            <a:ext cx="4687965" cy="2112617"/>
          </a:xfrm>
          <a:prstGeom prst="roundRect">
            <a:avLst>
              <a:gd name="adj" fmla="val 1178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57" name="Rectangle: Rounded Corners 356">
            <a:extLst>
              <a:ext uri="{FF2B5EF4-FFF2-40B4-BE49-F238E27FC236}">
                <a16:creationId xmlns:a16="http://schemas.microsoft.com/office/drawing/2014/main" id="{9B303AA3-B606-2948-57E5-44D3C41AEDF8}"/>
              </a:ext>
            </a:extLst>
          </xdr:cNvPr>
          <xdr:cNvSpPr/>
        </xdr:nvSpPr>
        <xdr:spPr>
          <a:xfrm>
            <a:off x="7353785" y="2370735"/>
            <a:ext cx="2345868" cy="2512170"/>
          </a:xfrm>
          <a:prstGeom prst="roundRect">
            <a:avLst>
              <a:gd name="adj" fmla="val 89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58" name="Rectangle: Rounded Corners 357">
            <a:extLst>
              <a:ext uri="{FF2B5EF4-FFF2-40B4-BE49-F238E27FC236}">
                <a16:creationId xmlns:a16="http://schemas.microsoft.com/office/drawing/2014/main" id="{F984724F-A2D1-CED9-1837-57AC43F4F0CA}"/>
              </a:ext>
            </a:extLst>
          </xdr:cNvPr>
          <xdr:cNvSpPr/>
        </xdr:nvSpPr>
        <xdr:spPr>
          <a:xfrm>
            <a:off x="7325505" y="5009038"/>
            <a:ext cx="4619029" cy="1748218"/>
          </a:xfrm>
          <a:prstGeom prst="roundRect">
            <a:avLst>
              <a:gd name="adj" fmla="val 89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59" name="TextBox 107">
            <a:extLst>
              <a:ext uri="{FF2B5EF4-FFF2-40B4-BE49-F238E27FC236}">
                <a16:creationId xmlns:a16="http://schemas.microsoft.com/office/drawing/2014/main" id="{70FCCD4E-6B23-98AB-5F8B-B18660C5B6CD}"/>
              </a:ext>
            </a:extLst>
          </xdr:cNvPr>
          <xdr:cNvSpPr txBox="1"/>
        </xdr:nvSpPr>
        <xdr:spPr>
          <a:xfrm>
            <a:off x="2755394" y="4695835"/>
            <a:ext cx="21019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Unit Sold by Region</a:t>
            </a:r>
          </a:p>
        </xdr:txBody>
      </xdr:sp>
      <xdr:sp macro="" textlink="">
        <xdr:nvSpPr>
          <xdr:cNvPr id="360" name="TextBox 108">
            <a:extLst>
              <a:ext uri="{FF2B5EF4-FFF2-40B4-BE49-F238E27FC236}">
                <a16:creationId xmlns:a16="http://schemas.microsoft.com/office/drawing/2014/main" id="{71F1B3B6-E6BE-CE92-7533-099073C6708C}"/>
              </a:ext>
            </a:extLst>
          </xdr:cNvPr>
          <xdr:cNvSpPr txBox="1"/>
        </xdr:nvSpPr>
        <xdr:spPr>
          <a:xfrm>
            <a:off x="2673545" y="2490081"/>
            <a:ext cx="207296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Total Revenue by Region</a:t>
            </a:r>
          </a:p>
        </xdr:txBody>
      </xdr:sp>
      <xdr:sp macro="" textlink="">
        <xdr:nvSpPr>
          <xdr:cNvPr id="361" name="Rectangle: Rounded Corners 360">
            <a:extLst>
              <a:ext uri="{FF2B5EF4-FFF2-40B4-BE49-F238E27FC236}">
                <a16:creationId xmlns:a16="http://schemas.microsoft.com/office/drawing/2014/main" id="{56E44EBA-5A22-F423-920F-28D200B63839}"/>
              </a:ext>
            </a:extLst>
          </xdr:cNvPr>
          <xdr:cNvSpPr/>
        </xdr:nvSpPr>
        <xdr:spPr>
          <a:xfrm>
            <a:off x="9891478" y="2384041"/>
            <a:ext cx="2267500" cy="2512170"/>
          </a:xfrm>
          <a:prstGeom prst="roundRect">
            <a:avLst>
              <a:gd name="adj" fmla="val 89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" name="TextBox 107">
            <a:extLst>
              <a:ext uri="{FF2B5EF4-FFF2-40B4-BE49-F238E27FC236}">
                <a16:creationId xmlns:a16="http://schemas.microsoft.com/office/drawing/2014/main" id="{922F3037-985D-BB6E-28E2-D135221F1284}"/>
              </a:ext>
            </a:extLst>
          </xdr:cNvPr>
          <xdr:cNvSpPr txBox="1"/>
        </xdr:nvSpPr>
        <xdr:spPr>
          <a:xfrm>
            <a:off x="7653218" y="2380917"/>
            <a:ext cx="21019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Unit Sold by Product</a:t>
            </a:r>
          </a:p>
        </xdr:txBody>
      </xdr:sp>
      <xdr:sp macro="" textlink="">
        <xdr:nvSpPr>
          <xdr:cNvPr id="3" name="TextBox 107">
            <a:extLst>
              <a:ext uri="{FF2B5EF4-FFF2-40B4-BE49-F238E27FC236}">
                <a16:creationId xmlns:a16="http://schemas.microsoft.com/office/drawing/2014/main" id="{A1AFD51A-0DB3-B181-CF88-35A97051A019}"/>
              </a:ext>
            </a:extLst>
          </xdr:cNvPr>
          <xdr:cNvSpPr txBox="1"/>
        </xdr:nvSpPr>
        <xdr:spPr>
          <a:xfrm>
            <a:off x="10204715" y="2434679"/>
            <a:ext cx="21019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Top</a:t>
            </a:r>
            <a:r>
              <a:rPr lang="en-US" sz="1400" baseline="0"/>
              <a:t> 5 Customers</a:t>
            </a:r>
            <a:endParaRPr lang="en-US" sz="1400"/>
          </a:p>
        </xdr:txBody>
      </xdr:sp>
      <xdr:sp macro="" textlink="">
        <xdr:nvSpPr>
          <xdr:cNvPr id="4" name="TextBox 107">
            <a:extLst>
              <a:ext uri="{FF2B5EF4-FFF2-40B4-BE49-F238E27FC236}">
                <a16:creationId xmlns:a16="http://schemas.microsoft.com/office/drawing/2014/main" id="{944963F3-A7D9-45AF-2ED1-B0DA96A8C341}"/>
              </a:ext>
            </a:extLst>
          </xdr:cNvPr>
          <xdr:cNvSpPr txBox="1"/>
        </xdr:nvSpPr>
        <xdr:spPr>
          <a:xfrm>
            <a:off x="7435501" y="4989657"/>
            <a:ext cx="21019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/>
              <a:t>Monthly Sales Trend</a:t>
            </a:r>
          </a:p>
        </xdr:txBody>
      </xdr:sp>
      <xdr:sp macro="" textlink="">
        <xdr:nvSpPr>
          <xdr:cNvPr id="6" name="TextBox 98">
            <a:extLst>
              <a:ext uri="{FF2B5EF4-FFF2-40B4-BE49-F238E27FC236}">
                <a16:creationId xmlns:a16="http://schemas.microsoft.com/office/drawing/2014/main" id="{57684CE2-BBA3-C01D-35AD-13BF170B8E5F}"/>
              </a:ext>
            </a:extLst>
          </xdr:cNvPr>
          <xdr:cNvSpPr txBox="1"/>
        </xdr:nvSpPr>
        <xdr:spPr>
          <a:xfrm>
            <a:off x="7414344" y="2700102"/>
            <a:ext cx="11732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394958"/>
                </a:solidFill>
              </a:rPr>
              <a:t>TV 43Q</a:t>
            </a:r>
          </a:p>
        </xdr:txBody>
      </xdr:sp>
      <xdr:sp macro="" textlink="">
        <xdr:nvSpPr>
          <xdr:cNvPr id="7" name="TextBox 98">
            <a:extLst>
              <a:ext uri="{FF2B5EF4-FFF2-40B4-BE49-F238E27FC236}">
                <a16:creationId xmlns:a16="http://schemas.microsoft.com/office/drawing/2014/main" id="{AE5B4B7F-ECA1-0790-0C80-E76BF2737834}"/>
              </a:ext>
            </a:extLst>
          </xdr:cNvPr>
          <xdr:cNvSpPr txBox="1"/>
        </xdr:nvSpPr>
        <xdr:spPr>
          <a:xfrm>
            <a:off x="7401248" y="3139773"/>
            <a:ext cx="11732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394958"/>
                </a:solidFill>
              </a:rPr>
              <a:t>TABLET T8</a:t>
            </a:r>
          </a:p>
        </xdr:txBody>
      </xdr:sp>
      <xdr:sp macro="" textlink="">
        <xdr:nvSpPr>
          <xdr:cNvPr id="8" name="TextBox 98">
            <a:extLst>
              <a:ext uri="{FF2B5EF4-FFF2-40B4-BE49-F238E27FC236}">
                <a16:creationId xmlns:a16="http://schemas.microsoft.com/office/drawing/2014/main" id="{AD62A60F-A8F5-875F-1980-A4D5D7FB49BF}"/>
              </a:ext>
            </a:extLst>
          </xdr:cNvPr>
          <xdr:cNvSpPr txBox="1"/>
        </xdr:nvSpPr>
        <xdr:spPr>
          <a:xfrm>
            <a:off x="7429076" y="3672592"/>
            <a:ext cx="1479373" cy="300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394958"/>
                </a:solidFill>
              </a:rPr>
              <a:t>MONITOR M24</a:t>
            </a:r>
          </a:p>
        </xdr:txBody>
      </xdr:sp>
      <xdr:sp macro="" textlink="">
        <xdr:nvSpPr>
          <xdr:cNvPr id="9" name="TextBox 98">
            <a:extLst>
              <a:ext uri="{FF2B5EF4-FFF2-40B4-BE49-F238E27FC236}">
                <a16:creationId xmlns:a16="http://schemas.microsoft.com/office/drawing/2014/main" id="{16460BEC-5FEE-1222-3727-C6D1DB1945FE}"/>
              </a:ext>
            </a:extLst>
          </xdr:cNvPr>
          <xdr:cNvSpPr txBox="1"/>
        </xdr:nvSpPr>
        <xdr:spPr>
          <a:xfrm>
            <a:off x="7443263" y="4138876"/>
            <a:ext cx="1173266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394958"/>
                </a:solidFill>
              </a:rPr>
              <a:t>LAPTOP A15</a:t>
            </a:r>
          </a:p>
        </xdr:txBody>
      </xdr:sp>
      <xdr:sp macro="" textlink="">
        <xdr:nvSpPr>
          <xdr:cNvPr id="11" name="TextBox 98">
            <a:extLst>
              <a:ext uri="{FF2B5EF4-FFF2-40B4-BE49-F238E27FC236}">
                <a16:creationId xmlns:a16="http://schemas.microsoft.com/office/drawing/2014/main" id="{25A7EF55-A3BE-3447-41A1-E3F49FEC819D}"/>
              </a:ext>
            </a:extLst>
          </xdr:cNvPr>
          <xdr:cNvSpPr txBox="1"/>
        </xdr:nvSpPr>
        <xdr:spPr>
          <a:xfrm>
            <a:off x="9924915" y="2674021"/>
            <a:ext cx="1534484" cy="2851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300" b="1">
                <a:solidFill>
                  <a:srgbClr val="394958"/>
                </a:solidFill>
              </a:rPr>
              <a:t>Jide Superstores</a:t>
            </a:r>
          </a:p>
        </xdr:txBody>
      </xdr:sp>
      <xdr:sp macro="" textlink="">
        <xdr:nvSpPr>
          <xdr:cNvPr id="12" name="TextBox 98">
            <a:extLst>
              <a:ext uri="{FF2B5EF4-FFF2-40B4-BE49-F238E27FC236}">
                <a16:creationId xmlns:a16="http://schemas.microsoft.com/office/drawing/2014/main" id="{8D027614-5DFD-F7A3-0315-74C640F428E5}"/>
              </a:ext>
            </a:extLst>
          </xdr:cNvPr>
          <xdr:cNvSpPr txBox="1"/>
        </xdr:nvSpPr>
        <xdr:spPr>
          <a:xfrm>
            <a:off x="9939102" y="3073768"/>
            <a:ext cx="1534484" cy="2851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300" b="1">
                <a:solidFill>
                  <a:srgbClr val="394958"/>
                </a:solidFill>
              </a:rPr>
              <a:t>Musa Enterprises</a:t>
            </a:r>
          </a:p>
        </xdr:txBody>
      </xdr:sp>
      <xdr:sp macro="" textlink="">
        <xdr:nvSpPr>
          <xdr:cNvPr id="13" name="TextBox 98">
            <a:extLst>
              <a:ext uri="{FF2B5EF4-FFF2-40B4-BE49-F238E27FC236}">
                <a16:creationId xmlns:a16="http://schemas.microsoft.com/office/drawing/2014/main" id="{66F30478-57B1-B2EA-FDC2-C91AFA29F641}"/>
              </a:ext>
            </a:extLst>
          </xdr:cNvPr>
          <xdr:cNvSpPr txBox="1"/>
        </xdr:nvSpPr>
        <xdr:spPr>
          <a:xfrm>
            <a:off x="9926006" y="3460208"/>
            <a:ext cx="1534484" cy="2851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300" b="1">
                <a:solidFill>
                  <a:srgbClr val="394958"/>
                </a:solidFill>
              </a:rPr>
              <a:t>Femi Tech</a:t>
            </a:r>
          </a:p>
        </xdr:txBody>
      </xdr:sp>
      <xdr:sp macro="" textlink="">
        <xdr:nvSpPr>
          <xdr:cNvPr id="15" name="TextBox 98">
            <a:extLst>
              <a:ext uri="{FF2B5EF4-FFF2-40B4-BE49-F238E27FC236}">
                <a16:creationId xmlns:a16="http://schemas.microsoft.com/office/drawing/2014/main" id="{63B4604A-17AF-2A88-5427-1A252CE6A989}"/>
              </a:ext>
            </a:extLst>
          </xdr:cNvPr>
          <xdr:cNvSpPr txBox="1"/>
        </xdr:nvSpPr>
        <xdr:spPr>
          <a:xfrm>
            <a:off x="9940193" y="3886570"/>
            <a:ext cx="1534484" cy="2851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300" b="1">
                <a:solidFill>
                  <a:srgbClr val="394958"/>
                </a:solidFill>
              </a:rPr>
              <a:t>Bright Solutions</a:t>
            </a:r>
          </a:p>
        </xdr:txBody>
      </xdr:sp>
      <xdr:sp macro="" textlink="">
        <xdr:nvSpPr>
          <xdr:cNvPr id="16" name="TextBox 98">
            <a:extLst>
              <a:ext uri="{FF2B5EF4-FFF2-40B4-BE49-F238E27FC236}">
                <a16:creationId xmlns:a16="http://schemas.microsoft.com/office/drawing/2014/main" id="{46184EA5-99D0-E2F4-A69C-1964A9AF0B14}"/>
              </a:ext>
            </a:extLst>
          </xdr:cNvPr>
          <xdr:cNvSpPr txBox="1"/>
        </xdr:nvSpPr>
        <xdr:spPr>
          <a:xfrm>
            <a:off x="9927097" y="4352854"/>
            <a:ext cx="1534484" cy="2851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300" b="1">
                <a:solidFill>
                  <a:srgbClr val="394958"/>
                </a:solidFill>
              </a:rPr>
              <a:t>Omega Wholesale</a:t>
            </a:r>
          </a:p>
        </xdr:txBody>
      </xdr:sp>
    </xdr:grpSp>
    <xdr:clientData/>
  </xdr:twoCellAnchor>
  <xdr:twoCellAnchor>
    <xdr:from>
      <xdr:col>58</xdr:col>
      <xdr:colOff>386521</xdr:colOff>
      <xdr:row>14</xdr:row>
      <xdr:rowOff>124239</xdr:rowOff>
    </xdr:from>
    <xdr:to>
      <xdr:col>60</xdr:col>
      <xdr:colOff>303696</xdr:colOff>
      <xdr:row>16</xdr:row>
      <xdr:rowOff>138043</xdr:rowOff>
    </xdr:to>
    <xdr:sp macro="" textlink="totalsales">
      <xdr:nvSpPr>
        <xdr:cNvPr id="362" name="TextBox 361">
          <a:extLst>
            <a:ext uri="{FF2B5EF4-FFF2-40B4-BE49-F238E27FC236}">
              <a16:creationId xmlns:a16="http://schemas.microsoft.com/office/drawing/2014/main" id="{B3F352F0-3FFA-35F5-735D-DF0309886A8E}"/>
            </a:ext>
          </a:extLst>
        </xdr:cNvPr>
        <xdr:cNvSpPr txBox="1"/>
      </xdr:nvSpPr>
      <xdr:spPr>
        <a:xfrm>
          <a:off x="35615217" y="2829891"/>
          <a:ext cx="1131957" cy="400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0BE4C51-47C9-4EEB-B826-7F8DBE246268}" type="TxLink">
            <a:rPr lang="en-US" sz="2000" b="0" i="0" u="none" strike="noStrike">
              <a:solidFill>
                <a:srgbClr val="1E3647"/>
              </a:solidFill>
              <a:latin typeface="Calibri"/>
              <a:cs typeface="Calibri"/>
            </a:rPr>
            <a:pPr/>
            <a:t>₦303M</a:t>
          </a:fld>
          <a:endParaRPr lang="en-US" sz="2000">
            <a:solidFill>
              <a:srgbClr val="1E3647"/>
            </a:solidFill>
          </a:endParaRPr>
        </a:p>
      </xdr:txBody>
    </xdr:sp>
    <xdr:clientData/>
  </xdr:twoCellAnchor>
  <xdr:twoCellAnchor>
    <xdr:from>
      <xdr:col>62</xdr:col>
      <xdr:colOff>373269</xdr:colOff>
      <xdr:row>14</xdr:row>
      <xdr:rowOff>138595</xdr:rowOff>
    </xdr:from>
    <xdr:to>
      <xdr:col>64</xdr:col>
      <xdr:colOff>290444</xdr:colOff>
      <xdr:row>16</xdr:row>
      <xdr:rowOff>152399</xdr:rowOff>
    </xdr:to>
    <xdr:sp macro="" textlink="unitssold">
      <xdr:nvSpPr>
        <xdr:cNvPr id="363" name="TextBox 362">
          <a:extLst>
            <a:ext uri="{FF2B5EF4-FFF2-40B4-BE49-F238E27FC236}">
              <a16:creationId xmlns:a16="http://schemas.microsoft.com/office/drawing/2014/main" id="{CA250EBF-0FD6-BA3F-3DC0-64F570C0683E}"/>
            </a:ext>
          </a:extLst>
        </xdr:cNvPr>
        <xdr:cNvSpPr txBox="1"/>
      </xdr:nvSpPr>
      <xdr:spPr>
        <a:xfrm>
          <a:off x="38031530" y="2844247"/>
          <a:ext cx="1131957" cy="400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9D6FA8-B751-4292-92ED-C9847AD5D17E}" type="TxLink">
            <a:rPr lang="en-US" sz="2000" b="0" i="0" u="none" strike="noStrike">
              <a:solidFill>
                <a:srgbClr val="1E3647"/>
              </a:solidFill>
              <a:latin typeface="Calibri"/>
              <a:cs typeface="Calibri"/>
            </a:rPr>
            <a:pPr/>
            <a:t> 1,141 </a:t>
          </a:fld>
          <a:endParaRPr lang="en-US" sz="4000">
            <a:solidFill>
              <a:srgbClr val="1E3647"/>
            </a:solidFill>
          </a:endParaRPr>
        </a:p>
      </xdr:txBody>
    </xdr:sp>
    <xdr:clientData/>
  </xdr:twoCellAnchor>
  <xdr:twoCellAnchor>
    <xdr:from>
      <xdr:col>66</xdr:col>
      <xdr:colOff>360017</xdr:colOff>
      <xdr:row>14</xdr:row>
      <xdr:rowOff>111538</xdr:rowOff>
    </xdr:from>
    <xdr:to>
      <xdr:col>68</xdr:col>
      <xdr:colOff>277191</xdr:colOff>
      <xdr:row>16</xdr:row>
      <xdr:rowOff>125342</xdr:rowOff>
    </xdr:to>
    <xdr:sp macro="" textlink="transaction">
      <xdr:nvSpPr>
        <xdr:cNvPr id="367" name="TextBox 366">
          <a:extLst>
            <a:ext uri="{FF2B5EF4-FFF2-40B4-BE49-F238E27FC236}">
              <a16:creationId xmlns:a16="http://schemas.microsoft.com/office/drawing/2014/main" id="{113C179C-9A34-2651-950C-6DD398284353}"/>
            </a:ext>
          </a:extLst>
        </xdr:cNvPr>
        <xdr:cNvSpPr txBox="1"/>
      </xdr:nvSpPr>
      <xdr:spPr>
        <a:xfrm>
          <a:off x="40447843" y="2817190"/>
          <a:ext cx="1131957" cy="400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B1D09B-809B-4E49-8874-A5110F7F0BEC}" type="TxLink">
            <a:rPr lang="en-US" sz="1800" b="0" i="0" u="none" strike="noStrike">
              <a:solidFill>
                <a:srgbClr val="1E3647"/>
              </a:solidFill>
              <a:latin typeface="Calibri"/>
              <a:cs typeface="Calibri"/>
            </a:rPr>
            <a:pPr/>
            <a:t>100</a:t>
          </a:fld>
          <a:endParaRPr lang="en-US" sz="4000">
            <a:solidFill>
              <a:srgbClr val="1E3647"/>
            </a:solidFill>
          </a:endParaRPr>
        </a:p>
      </xdr:txBody>
    </xdr:sp>
    <xdr:clientData/>
  </xdr:twoCellAnchor>
  <xdr:twoCellAnchor>
    <xdr:from>
      <xdr:col>70</xdr:col>
      <xdr:colOff>346765</xdr:colOff>
      <xdr:row>14</xdr:row>
      <xdr:rowOff>84481</xdr:rowOff>
    </xdr:from>
    <xdr:to>
      <xdr:col>72</xdr:col>
      <xdr:colOff>263939</xdr:colOff>
      <xdr:row>16</xdr:row>
      <xdr:rowOff>98285</xdr:rowOff>
    </xdr:to>
    <xdr:sp macro="" textlink="avgunitp">
      <xdr:nvSpPr>
        <xdr:cNvPr id="368" name="TextBox 367">
          <a:extLst>
            <a:ext uri="{FF2B5EF4-FFF2-40B4-BE49-F238E27FC236}">
              <a16:creationId xmlns:a16="http://schemas.microsoft.com/office/drawing/2014/main" id="{A446262E-CAA6-5B31-444C-E0C989691751}"/>
            </a:ext>
          </a:extLst>
        </xdr:cNvPr>
        <xdr:cNvSpPr txBox="1"/>
      </xdr:nvSpPr>
      <xdr:spPr>
        <a:xfrm>
          <a:off x="42864156" y="2790133"/>
          <a:ext cx="1131957" cy="400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D4A698D-7BA4-40B7-AD4C-CE1E1FCC9C35}" type="TxLink">
            <a:rPr lang="en-US" sz="1800" b="0" i="0" u="none" strike="noStrike">
              <a:solidFill>
                <a:srgbClr val="1E3647"/>
              </a:solidFill>
              <a:latin typeface="Calibri"/>
              <a:cs typeface="Calibri"/>
            </a:rPr>
            <a:pPr/>
            <a:t>₦248.2K</a:t>
          </a:fld>
          <a:endParaRPr lang="en-US" sz="4000">
            <a:solidFill>
              <a:srgbClr val="1E3647"/>
            </a:solidFill>
          </a:endParaRPr>
        </a:p>
      </xdr:txBody>
    </xdr:sp>
    <xdr:clientData/>
  </xdr:twoCellAnchor>
  <xdr:twoCellAnchor>
    <xdr:from>
      <xdr:col>57</xdr:col>
      <xdr:colOff>55218</xdr:colOff>
      <xdr:row>20</xdr:row>
      <xdr:rowOff>0</xdr:rowOff>
    </xdr:from>
    <xdr:to>
      <xdr:col>64</xdr:col>
      <xdr:colOff>27609</xdr:colOff>
      <xdr:row>30</xdr:row>
      <xdr:rowOff>1</xdr:rowOff>
    </xdr:to>
    <xdr:graphicFrame macro="">
      <xdr:nvGraphicFramePr>
        <xdr:cNvPr id="369" name="Chart 368">
          <a:extLst>
            <a:ext uri="{FF2B5EF4-FFF2-40B4-BE49-F238E27FC236}">
              <a16:creationId xmlns:a16="http://schemas.microsoft.com/office/drawing/2014/main" id="{CCAA583B-4E0C-4334-8783-8113F26D4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57</xdr:col>
      <xdr:colOff>151849</xdr:colOff>
      <xdr:row>32</xdr:row>
      <xdr:rowOff>13803</xdr:rowOff>
    </xdr:from>
    <xdr:to>
      <xdr:col>63</xdr:col>
      <xdr:colOff>593588</xdr:colOff>
      <xdr:row>41</xdr:row>
      <xdr:rowOff>41412</xdr:rowOff>
    </xdr:to>
    <xdr:graphicFrame macro="">
      <xdr:nvGraphicFramePr>
        <xdr:cNvPr id="370" name="Chart 369">
          <a:extLst>
            <a:ext uri="{FF2B5EF4-FFF2-40B4-BE49-F238E27FC236}">
              <a16:creationId xmlns:a16="http://schemas.microsoft.com/office/drawing/2014/main" id="{0161BBFD-6271-48A2-A6E0-CB2772743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64</xdr:col>
      <xdr:colOff>579782</xdr:colOff>
      <xdr:row>19</xdr:row>
      <xdr:rowOff>138043</xdr:rowOff>
    </xdr:from>
    <xdr:to>
      <xdr:col>69</xdr:col>
      <xdr:colOff>55217</xdr:colOff>
      <xdr:row>31</xdr:row>
      <xdr:rowOff>151848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55C511-3EFD-44AA-BF9A-3514FF6B2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303696</xdr:colOff>
      <xdr:row>20</xdr:row>
      <xdr:rowOff>165653</xdr:rowOff>
    </xdr:from>
    <xdr:to>
      <xdr:col>72</xdr:col>
      <xdr:colOff>565978</xdr:colOff>
      <xdr:row>22</xdr:row>
      <xdr:rowOff>82826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211A677-030C-4AC7-B678-9C30A83B9E41}"/>
            </a:ext>
          </a:extLst>
        </xdr:cNvPr>
        <xdr:cNvSpPr/>
      </xdr:nvSpPr>
      <xdr:spPr>
        <a:xfrm>
          <a:off x="43428479" y="4030870"/>
          <a:ext cx="869673" cy="303695"/>
        </a:xfrm>
        <a:prstGeom prst="roundRect">
          <a:avLst>
            <a:gd name="adj" fmla="val 50000"/>
          </a:avLst>
        </a:prstGeom>
        <a:solidFill>
          <a:srgbClr val="ABD1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304248</xdr:colOff>
      <xdr:row>22</xdr:row>
      <xdr:rowOff>180010</xdr:rowOff>
    </xdr:from>
    <xdr:to>
      <xdr:col>72</xdr:col>
      <xdr:colOff>566530</xdr:colOff>
      <xdr:row>24</xdr:row>
      <xdr:rowOff>97183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34CFD37-6BCD-6376-C8A5-64B0FE434BBD}"/>
            </a:ext>
          </a:extLst>
        </xdr:cNvPr>
        <xdr:cNvSpPr/>
      </xdr:nvSpPr>
      <xdr:spPr>
        <a:xfrm>
          <a:off x="43429031" y="4431749"/>
          <a:ext cx="869673" cy="303695"/>
        </a:xfrm>
        <a:prstGeom prst="roundRect">
          <a:avLst>
            <a:gd name="adj" fmla="val 50000"/>
          </a:avLst>
        </a:prstGeom>
        <a:solidFill>
          <a:srgbClr val="ABD1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290996</xdr:colOff>
      <xdr:row>25</xdr:row>
      <xdr:rowOff>56323</xdr:rowOff>
    </xdr:from>
    <xdr:to>
      <xdr:col>72</xdr:col>
      <xdr:colOff>553278</xdr:colOff>
      <xdr:row>26</xdr:row>
      <xdr:rowOff>166757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2F0137A-C50A-EC80-5FF5-CE772F556377}"/>
            </a:ext>
          </a:extLst>
        </xdr:cNvPr>
        <xdr:cNvSpPr/>
      </xdr:nvSpPr>
      <xdr:spPr>
        <a:xfrm>
          <a:off x="43415779" y="4887845"/>
          <a:ext cx="869673" cy="303695"/>
        </a:xfrm>
        <a:prstGeom prst="roundRect">
          <a:avLst>
            <a:gd name="adj" fmla="val 50000"/>
          </a:avLst>
        </a:prstGeom>
        <a:solidFill>
          <a:srgbClr val="ABD1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319157</xdr:colOff>
      <xdr:row>27</xdr:row>
      <xdr:rowOff>70680</xdr:rowOff>
    </xdr:from>
    <xdr:to>
      <xdr:col>72</xdr:col>
      <xdr:colOff>581439</xdr:colOff>
      <xdr:row>28</xdr:row>
      <xdr:rowOff>181114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8C37BC4-1DBC-4888-75B8-A9559D191092}"/>
            </a:ext>
          </a:extLst>
        </xdr:cNvPr>
        <xdr:cNvSpPr/>
      </xdr:nvSpPr>
      <xdr:spPr>
        <a:xfrm>
          <a:off x="43443940" y="5288723"/>
          <a:ext cx="869673" cy="303695"/>
        </a:xfrm>
        <a:prstGeom prst="roundRect">
          <a:avLst>
            <a:gd name="adj" fmla="val 50000"/>
          </a:avLst>
        </a:prstGeom>
        <a:solidFill>
          <a:srgbClr val="ABD1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71</xdr:col>
      <xdr:colOff>347318</xdr:colOff>
      <xdr:row>29</xdr:row>
      <xdr:rowOff>85036</xdr:rowOff>
    </xdr:from>
    <xdr:to>
      <xdr:col>73</xdr:col>
      <xdr:colOff>2209</xdr:colOff>
      <xdr:row>31</xdr:row>
      <xdr:rowOff>2209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C03ECEA8-3022-BAA0-EAC5-61B9CE4E8492}"/>
            </a:ext>
          </a:extLst>
        </xdr:cNvPr>
        <xdr:cNvSpPr/>
      </xdr:nvSpPr>
      <xdr:spPr>
        <a:xfrm>
          <a:off x="43472101" y="5689601"/>
          <a:ext cx="869673" cy="303695"/>
        </a:xfrm>
        <a:prstGeom prst="roundRect">
          <a:avLst>
            <a:gd name="adj" fmla="val 50000"/>
          </a:avLst>
        </a:prstGeom>
        <a:solidFill>
          <a:srgbClr val="ABD1D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69</xdr:col>
      <xdr:colOff>110435</xdr:colOff>
      <xdr:row>19</xdr:row>
      <xdr:rowOff>165649</xdr:rowOff>
    </xdr:from>
    <xdr:to>
      <xdr:col>73</xdr:col>
      <xdr:colOff>69022</xdr:colOff>
      <xdr:row>32</xdr:row>
      <xdr:rowOff>42012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230E93-EC89-421A-B1C0-9CEE40499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65</xdr:col>
      <xdr:colOff>13804</xdr:colOff>
      <xdr:row>33</xdr:row>
      <xdr:rowOff>124238</xdr:rowOff>
    </xdr:from>
    <xdr:to>
      <xdr:col>72</xdr:col>
      <xdr:colOff>538369</xdr:colOff>
      <xdr:row>41</xdr:row>
      <xdr:rowOff>69021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C47EEB4-EA62-48CE-847F-F4D10A55C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143884606485" createdVersion="8" refreshedVersion="8" minRefreshableVersion="3" recordCount="100" xr:uid="{6012B619-AD59-4DA7-BF3E-996615F46015}">
  <cacheSource type="worksheet">
    <worksheetSource name="Table2"/>
  </cacheSource>
  <cacheFields count="12">
    <cacheField name="Date" numFmtId="14">
      <sharedItems/>
    </cacheField>
    <cacheField name="Proper Date" numFmtId="14">
      <sharedItems containsSemiMixedTypes="0" containsNonDate="0" containsDate="1" containsString="0" minDate="2025-01-04T00:00:00" maxDate="2205-06-18T00:00:00" count="79">
        <d v="2025-06-13T00:00:00"/>
        <d v="2025-04-08T00:00:00"/>
        <d v="2025-01-29T00:00:00"/>
        <d v="2025-05-17T00:00:00"/>
        <d v="2025-01-28T00:00:00"/>
        <d v="2025-05-26T00:00:00"/>
        <d v="2025-05-06T00:00:00"/>
        <d v="2025-02-10T00:00:00"/>
        <d v="2025-02-01T00:00:00"/>
        <d v="2025-06-28T00:00:00"/>
        <d v="2025-04-18T00:00:00"/>
        <d v="2025-02-25T00:00:00"/>
        <d v="2025-04-29T00:00:00"/>
        <d v="2025-02-02T00:00:00"/>
        <d v="2025-04-15T00:00:00"/>
        <d v="2025-06-12T00:00:00"/>
        <d v="2025-01-31T00:00:00"/>
        <d v="2025-05-25T00:00:00"/>
        <d v="2025-02-26T00:00:00"/>
        <d v="2025-04-06T00:00:00"/>
        <d v="2025-02-24T00:00:00"/>
        <d v="2025-03-24T00:00:00"/>
        <d v="2025-05-28T00:00:00"/>
        <d v="2025-05-12T00:00:00"/>
        <d v="2025-05-11T00:00:00"/>
        <d v="2025-01-16T00:00:00"/>
        <d v="2025-05-10T00:00:00"/>
        <d v="2025-02-06T00:00:00"/>
        <d v="2025-06-17T00:00:00"/>
        <d v="2025-01-09T00:00:00"/>
        <d v="2025-06-29T00:00:00"/>
        <d v="2025-03-19T00:00:00"/>
        <d v="2025-02-07T00:00:00"/>
        <d v="2025-03-07T00:00:00"/>
        <d v="2025-05-07T00:00:00"/>
        <d v="2025-06-30T00:00:00"/>
        <d v="2025-01-13T00:00:00"/>
        <d v="2025-06-15T00:00:00"/>
        <d v="2025-02-28T00:00:00"/>
        <d v="2025-02-19T00:00:00"/>
        <d v="2025-03-03T00:00:00"/>
        <d v="2025-04-01T00:00:00"/>
        <d v="2025-04-07T00:00:00"/>
        <d v="2025-06-01T00:00:00"/>
        <d v="2025-01-14T00:00:00"/>
        <d v="2025-02-22T00:00:00"/>
        <d v="2025-04-24T00:00:00"/>
        <d v="2025-01-27T00:00:00"/>
        <d v="2025-01-04T00:00:00"/>
        <d v="2025-03-08T00:00:00"/>
        <d v="2025-01-23T00:00:00"/>
        <d v="2025-02-05T00:00:00"/>
        <d v="2025-01-06T00:00:00"/>
        <d v="2025-05-02T00:00:00"/>
        <d v="2205-06-17T00:00:00"/>
        <d v="2025-06-02T00:00:00"/>
        <d v="2025-02-16T00:00:00"/>
        <d v="2025-04-14T00:00:00"/>
        <d v="2025-01-11T00:00:00"/>
        <d v="2025-05-29T00:00:00"/>
        <d v="2025-03-15T00:00:00"/>
        <d v="2025-03-26T00:00:00"/>
        <d v="2025-01-12T00:00:00"/>
        <d v="2025-05-05T00:00:00"/>
        <d v="2025-05-19T00:00:00"/>
        <d v="2025-04-04T00:00:00"/>
        <d v="2025-06-03T00:00:00"/>
        <d v="2025-04-05T00:00:00"/>
        <d v="2025-01-30T00:00:00"/>
        <d v="2025-05-27T00:00:00"/>
        <d v="2025-02-13T00:00:00"/>
        <d v="2025-03-09T00:00:00"/>
        <d v="2025-02-20T00:00:00"/>
        <d v="2025-04-10T00:00:00"/>
        <d v="2025-05-21T00:00:00"/>
        <d v="2025-06-26T00:00:00"/>
        <d v="2025-06-27T00:00:00"/>
        <d v="2025-06-07T00:00:00"/>
        <d v="2025-05-13T00:00:00"/>
      </sharedItems>
      <fieldGroup par="11"/>
    </cacheField>
    <cacheField name="Region" numFmtId="0">
      <sharedItems containsBlank="1" count="9">
        <s v="South"/>
        <s v="East"/>
        <s v="North"/>
        <s v="West"/>
        <s v="West_x0009_" u="1"/>
        <s v="South _x0009_" u="1"/>
        <s v="North_x0009_" u="1"/>
        <s v="East_x0009_" u="1"/>
        <m u="1"/>
      </sharedItems>
    </cacheField>
    <cacheField name="Product" numFmtId="0">
      <sharedItems count="15">
        <s v="LAPTOP A15"/>
        <s v="TV 43Q"/>
        <s v="PHONE X12"/>
        <s v="MONITOR M24"/>
        <s v="CAMERA C100"/>
        <s v="TABLET T8"/>
        <s v="SPEAKER S10"/>
        <s v="CAMERA C010"/>
        <s v="UNKNOWN"/>
        <s v="CAMER AC100"/>
        <s v="SPEAKE R S10" u="1"/>
        <s v="TABLET T8 _x0009_" u="1"/>
        <s v="LAPTOP A15 _x0009_" u="1"/>
        <s v="TABLET T8_x0009_" u="1"/>
        <s v="SPEAKER S10_x0009_" u="1"/>
      </sharedItems>
    </cacheField>
    <cacheField name="Units Sold" numFmtId="2">
      <sharedItems containsSemiMixedTypes="0" containsString="0" containsNumber="1" containsInteger="1" minValue="1" maxValue="20"/>
    </cacheField>
    <cacheField name="Unit Price" numFmtId="164">
      <sharedItems containsSemiMixedTypes="0" containsString="0" containsNumber="1" containsInteger="1" minValue="3500" maxValue="2500000" count="17">
        <n v="2500000"/>
        <n v="350000"/>
        <n v="180000"/>
        <n v="65000"/>
        <n v="157427"/>
        <n v="175000"/>
        <n v="150000"/>
        <n v="85000"/>
        <n v="35000"/>
        <n v="62035"/>
        <n v="250000"/>
        <n v="73740"/>
        <n v="57912"/>
        <n v="650000"/>
        <n v="25000"/>
        <n v="3500"/>
        <n v="89233"/>
      </sharedItems>
    </cacheField>
    <cacheField name="Sale Rep" numFmtId="0">
      <sharedItems count="15">
        <s v="Peter Obi"/>
        <s v="Ifeanyi Okafor"/>
        <s v="Fola Balogun"/>
        <s v="Aisha Bello"/>
        <s v="Chinedu Nwosu"/>
        <s v="Mary John"/>
        <s v="Grace Amos"/>
        <s v="Job Austin"/>
        <s v="Aba Joel"/>
        <s v="Mary John _x0009_"/>
        <s v="Praise Odunayo"/>
        <s v="Ifeanyi Okafor _x0009_"/>
        <s v="Grace Amos_x0009_"/>
        <s v="Peter Bi" u="1"/>
        <s v="Petero Bi" u="1"/>
      </sharedItems>
    </cacheField>
    <cacheField name="Customers" numFmtId="0">
      <sharedItems count="30">
        <s v="Bright Solutions"/>
        <s v="Musa Enterprises"/>
        <s v="Zainab Global"/>
        <s v="Jide Superstores"/>
        <s v="Chika Mart"/>
        <s v="Alpha Retailers"/>
        <s v="Omega Wholesale"/>
        <s v="Kelvin Tech"/>
        <s v="Emeka Traders"/>
        <s v="Tola Ventures"/>
        <s v="Femi Tech"/>
        <s v="Maryam Ltd"/>
        <s v="Kelvin Tech_x0009_"/>
        <s v="Tope &amp; Sons"/>
        <s v="Alpha Retailers_x0009_"/>
        <s v="Adewale Stores"/>
        <s v="Toep &amp; Sons"/>
        <s v="Zianab Global" u="1"/>
        <s v="Zainab Global_x0009_" u="1"/>
        <s v="Tola Ventuers" u="1"/>
        <s v="Musa Enterpirses" u="1"/>
        <s v="Alpha Retailers _x0009_" u="1"/>
        <s v="Kelvin Tech _x0009_" u="1"/>
        <s v="Jid Esuperstores" u="1"/>
        <s v="Emeka Tarders" u="1"/>
        <s v="Emeka Trader" u="1"/>
        <s v="Emeka Tradesr" u="1"/>
        <s v="Chkia Mart" u="1"/>
        <s v="Brigth Solutions" u="1"/>
        <s v="Adewales Tores" u="1"/>
      </sharedItems>
    </cacheField>
    <cacheField name="Total sales" numFmtId="164">
      <sharedItems containsSemiMixedTypes="0" containsString="0" containsNumber="1" containsInteger="1" minValue="59500" maxValue="50000000"/>
    </cacheField>
    <cacheField name="Months (Proper Date)" numFmtId="0" databaseField="0">
      <fieldGroup base="1">
        <rangePr groupBy="months" startDate="2025-01-04T00:00:00" endDate="2205-06-18T00:00:00"/>
        <groupItems count="14">
          <s v="&lt;1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8/2205"/>
        </groupItems>
      </fieldGroup>
    </cacheField>
    <cacheField name="Quarters (Proper Date)" numFmtId="0" databaseField="0">
      <fieldGroup base="1">
        <rangePr groupBy="quarters" startDate="2025-01-04T00:00:00" endDate="2205-06-18T00:00:00"/>
        <groupItems count="6">
          <s v="&lt;1/4/2025"/>
          <s v="Qtr1"/>
          <s v="Qtr2"/>
          <s v="Qtr3"/>
          <s v="Qtr4"/>
          <s v="&gt;6/18/2205"/>
        </groupItems>
      </fieldGroup>
    </cacheField>
    <cacheField name="Years (Proper Date)" numFmtId="0" databaseField="0">
      <fieldGroup base="1">
        <rangePr groupBy="years" startDate="2025-01-04T00:00:00" endDate="2205-06-18T00:00:00"/>
        <groupItems count="183">
          <s v="&lt;1/4/2025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2061"/>
          <s v="2062"/>
          <s v="2063"/>
          <s v="2064"/>
          <s v="2065"/>
          <s v="2066"/>
          <s v="2067"/>
          <s v="2068"/>
          <s v="2069"/>
          <s v="2070"/>
          <s v="2071"/>
          <s v="2072"/>
          <s v="2073"/>
          <s v="2074"/>
          <s v="2075"/>
          <s v="2076"/>
          <s v="2077"/>
          <s v="2078"/>
          <s v="2079"/>
          <s v="2080"/>
          <s v="2081"/>
          <s v="2082"/>
          <s v="2083"/>
          <s v="2084"/>
          <s v="2085"/>
          <s v="2086"/>
          <s v="2087"/>
          <s v="2088"/>
          <s v="2089"/>
          <s v="2090"/>
          <s v="2091"/>
          <s v="2092"/>
          <s v="2093"/>
          <s v="2094"/>
          <s v="2095"/>
          <s v="2096"/>
          <s v="2097"/>
          <s v="2098"/>
          <s v="2099"/>
          <s v="2100"/>
          <s v="2101"/>
          <s v="2102"/>
          <s v="2103"/>
          <s v="2104"/>
          <s v="2105"/>
          <s v="2106"/>
          <s v="2107"/>
          <s v="2108"/>
          <s v="2109"/>
          <s v="2110"/>
          <s v="2111"/>
          <s v="2112"/>
          <s v="2113"/>
          <s v="2114"/>
          <s v="2115"/>
          <s v="2116"/>
          <s v="2117"/>
          <s v="2118"/>
          <s v="2119"/>
          <s v="2120"/>
          <s v="2121"/>
          <s v="2122"/>
          <s v="2123"/>
          <s v="2124"/>
          <s v="2125"/>
          <s v="2126"/>
          <s v="2127"/>
          <s v="2128"/>
          <s v="2129"/>
          <s v="2130"/>
          <s v="2131"/>
          <s v="2132"/>
          <s v="2133"/>
          <s v="2134"/>
          <s v="2135"/>
          <s v="2136"/>
          <s v="2137"/>
          <s v="2138"/>
          <s v="2139"/>
          <s v="2140"/>
          <s v="2141"/>
          <s v="2142"/>
          <s v="2143"/>
          <s v="2144"/>
          <s v="2145"/>
          <s v="2146"/>
          <s v="2147"/>
          <s v="2148"/>
          <s v="2149"/>
          <s v="2150"/>
          <s v="2151"/>
          <s v="2152"/>
          <s v="2153"/>
          <s v="2154"/>
          <s v="2155"/>
          <s v="2156"/>
          <s v="2157"/>
          <s v="2158"/>
          <s v="2159"/>
          <s v="2160"/>
          <s v="2161"/>
          <s v="2162"/>
          <s v="2163"/>
          <s v="2164"/>
          <s v="2165"/>
          <s v="2166"/>
          <s v="2167"/>
          <s v="2168"/>
          <s v="2169"/>
          <s v="2170"/>
          <s v="2171"/>
          <s v="2172"/>
          <s v="2173"/>
          <s v="2174"/>
          <s v="2175"/>
          <s v="2176"/>
          <s v="2177"/>
          <s v="2178"/>
          <s v="2179"/>
          <s v="2180"/>
          <s v="2181"/>
          <s v="2182"/>
          <s v="2183"/>
          <s v="2184"/>
          <s v="2185"/>
          <s v="2186"/>
          <s v="2187"/>
          <s v="2188"/>
          <s v="2189"/>
          <s v="2190"/>
          <s v="2191"/>
          <s v="2192"/>
          <s v="2193"/>
          <s v="2194"/>
          <s v="2195"/>
          <s v="2196"/>
          <s v="2197"/>
          <s v="2198"/>
          <s v="2199"/>
          <s v="2200"/>
          <s v="2201"/>
          <s v="2202"/>
          <s v="2203"/>
          <s v="2204"/>
          <s v="2205"/>
          <s v="&gt;6/18/2205"/>
        </groupItems>
      </fieldGroup>
    </cacheField>
  </cacheFields>
  <extLst>
    <ext xmlns:x14="http://schemas.microsoft.com/office/spreadsheetml/2009/9/main" uri="{725AE2AE-9491-48be-B2B4-4EB974FC3084}">
      <x14:pivotCacheDefinition pivotCacheId="1664977290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3/06/2025"/>
    <x v="0"/>
    <x v="0"/>
    <x v="0"/>
    <n v="8"/>
    <x v="0"/>
    <x v="0"/>
    <x v="0"/>
    <n v="20000000"/>
  </r>
  <r>
    <s v="08/04/2025"/>
    <x v="1"/>
    <x v="1"/>
    <x v="1"/>
    <n v="6"/>
    <x v="1"/>
    <x v="1"/>
    <x v="1"/>
    <n v="2100000"/>
  </r>
  <r>
    <s v="29/01/2025"/>
    <x v="2"/>
    <x v="2"/>
    <x v="2"/>
    <n v="14"/>
    <x v="2"/>
    <x v="2"/>
    <x v="2"/>
    <n v="2520000"/>
  </r>
  <r>
    <s v="17/05/2025"/>
    <x v="3"/>
    <x v="0"/>
    <x v="3"/>
    <n v="18"/>
    <x v="3"/>
    <x v="1"/>
    <x v="3"/>
    <n v="1170000"/>
  </r>
  <r>
    <s v="28/01/2025"/>
    <x v="4"/>
    <x v="3"/>
    <x v="2"/>
    <n v="5"/>
    <x v="2"/>
    <x v="0"/>
    <x v="4"/>
    <n v="900000"/>
  </r>
  <r>
    <s v="26/05/2025"/>
    <x v="5"/>
    <x v="1"/>
    <x v="2"/>
    <n v="19"/>
    <x v="4"/>
    <x v="1"/>
    <x v="1"/>
    <n v="2991113"/>
  </r>
  <r>
    <s v="06/05/2025"/>
    <x v="6"/>
    <x v="3"/>
    <x v="1"/>
    <n v="3"/>
    <x v="1"/>
    <x v="3"/>
    <x v="4"/>
    <n v="1050000"/>
  </r>
  <r>
    <s v="10/02/2025"/>
    <x v="7"/>
    <x v="3"/>
    <x v="3"/>
    <n v="2"/>
    <x v="3"/>
    <x v="0"/>
    <x v="1"/>
    <n v="130000"/>
  </r>
  <r>
    <s v="01/02/2025"/>
    <x v="8"/>
    <x v="1"/>
    <x v="4"/>
    <n v="14"/>
    <x v="5"/>
    <x v="2"/>
    <x v="0"/>
    <n v="2450000"/>
  </r>
  <r>
    <s v="28/06/2025"/>
    <x v="9"/>
    <x v="3"/>
    <x v="5"/>
    <n v="4"/>
    <x v="6"/>
    <x v="0"/>
    <x v="5"/>
    <n v="600000"/>
  </r>
  <r>
    <s v="18/04/2025"/>
    <x v="10"/>
    <x v="0"/>
    <x v="5"/>
    <n v="20"/>
    <x v="6"/>
    <x v="2"/>
    <x v="1"/>
    <n v="3000000"/>
  </r>
  <r>
    <s v="25/02/2025"/>
    <x v="11"/>
    <x v="2"/>
    <x v="6"/>
    <n v="6"/>
    <x v="7"/>
    <x v="3"/>
    <x v="6"/>
    <n v="510000"/>
  </r>
  <r>
    <s v="29/04/2025"/>
    <x v="12"/>
    <x v="3"/>
    <x v="5"/>
    <n v="1"/>
    <x v="6"/>
    <x v="3"/>
    <x v="7"/>
    <n v="150000"/>
  </r>
  <r>
    <s v="02/02/2025"/>
    <x v="13"/>
    <x v="1"/>
    <x v="1"/>
    <n v="18"/>
    <x v="8"/>
    <x v="4"/>
    <x v="8"/>
    <n v="630000"/>
  </r>
  <r>
    <s v="15/04/2025"/>
    <x v="14"/>
    <x v="0"/>
    <x v="6"/>
    <n v="2"/>
    <x v="7"/>
    <x v="1"/>
    <x v="0"/>
    <n v="170000"/>
  </r>
  <r>
    <s v="12/06/2025"/>
    <x v="15"/>
    <x v="1"/>
    <x v="3"/>
    <n v="11"/>
    <x v="9"/>
    <x v="4"/>
    <x v="9"/>
    <n v="682385"/>
  </r>
  <r>
    <s v="31/01/2025"/>
    <x v="16"/>
    <x v="1"/>
    <x v="4"/>
    <n v="10"/>
    <x v="5"/>
    <x v="2"/>
    <x v="6"/>
    <n v="1750000"/>
  </r>
  <r>
    <s v="02/02/2025"/>
    <x v="13"/>
    <x v="3"/>
    <x v="5"/>
    <n v="4"/>
    <x v="6"/>
    <x v="5"/>
    <x v="3"/>
    <n v="600000"/>
  </r>
  <r>
    <s v="25/05/2025"/>
    <x v="17"/>
    <x v="3"/>
    <x v="4"/>
    <n v="3"/>
    <x v="5"/>
    <x v="6"/>
    <x v="10"/>
    <n v="525000"/>
  </r>
  <r>
    <s v="26/02/2025"/>
    <x v="18"/>
    <x v="2"/>
    <x v="4"/>
    <n v="5"/>
    <x v="5"/>
    <x v="4"/>
    <x v="10"/>
    <n v="875000"/>
  </r>
  <r>
    <s v="06/04/2025"/>
    <x v="19"/>
    <x v="1"/>
    <x v="0"/>
    <n v="20"/>
    <x v="10"/>
    <x v="6"/>
    <x v="1"/>
    <n v="5000000"/>
  </r>
  <r>
    <s v="24/02/2025"/>
    <x v="20"/>
    <x v="1"/>
    <x v="4"/>
    <n v="2"/>
    <x v="5"/>
    <x v="0"/>
    <x v="8"/>
    <n v="350000"/>
  </r>
  <r>
    <s v="24/03/2025"/>
    <x v="21"/>
    <x v="1"/>
    <x v="5"/>
    <n v="20"/>
    <x v="6"/>
    <x v="2"/>
    <x v="11"/>
    <n v="3000000"/>
  </r>
  <r>
    <s v="28/05/2025"/>
    <x v="22"/>
    <x v="2"/>
    <x v="5"/>
    <n v="8"/>
    <x v="6"/>
    <x v="1"/>
    <x v="6"/>
    <n v="1200000"/>
  </r>
  <r>
    <s v="12/05/2025"/>
    <x v="23"/>
    <x v="3"/>
    <x v="0"/>
    <n v="19"/>
    <x v="10"/>
    <x v="6"/>
    <x v="10"/>
    <n v="4750000"/>
  </r>
  <r>
    <s v="11/05/2025"/>
    <x v="24"/>
    <x v="1"/>
    <x v="7"/>
    <n v="12"/>
    <x v="5"/>
    <x v="4"/>
    <x v="6"/>
    <n v="2100000"/>
  </r>
  <r>
    <s v="16/01/2025"/>
    <x v="25"/>
    <x v="2"/>
    <x v="6"/>
    <n v="11"/>
    <x v="7"/>
    <x v="6"/>
    <x v="10"/>
    <n v="935000"/>
  </r>
  <r>
    <s v="10/05/2025"/>
    <x v="26"/>
    <x v="2"/>
    <x v="3"/>
    <n v="17"/>
    <x v="3"/>
    <x v="4"/>
    <x v="12"/>
    <n v="1105000"/>
  </r>
  <r>
    <s v="01/02/2025"/>
    <x v="8"/>
    <x v="0"/>
    <x v="1"/>
    <n v="15"/>
    <x v="1"/>
    <x v="7"/>
    <x v="2"/>
    <n v="5250000"/>
  </r>
  <r>
    <s v="06/02/2025"/>
    <x v="27"/>
    <x v="3"/>
    <x v="1"/>
    <n v="8"/>
    <x v="1"/>
    <x v="0"/>
    <x v="10"/>
    <n v="2800000"/>
  </r>
  <r>
    <s v="17/06/2025"/>
    <x v="28"/>
    <x v="3"/>
    <x v="1"/>
    <n v="14"/>
    <x v="1"/>
    <x v="4"/>
    <x v="13"/>
    <n v="4900000"/>
  </r>
  <r>
    <s v="09/01/2025"/>
    <x v="29"/>
    <x v="1"/>
    <x v="5"/>
    <n v="12"/>
    <x v="6"/>
    <x v="2"/>
    <x v="5"/>
    <n v="1800000"/>
  </r>
  <r>
    <s v="29/06/2025"/>
    <x v="30"/>
    <x v="2"/>
    <x v="4"/>
    <n v="8"/>
    <x v="5"/>
    <x v="0"/>
    <x v="5"/>
    <n v="1400000"/>
  </r>
  <r>
    <s v="19/03/2025"/>
    <x v="31"/>
    <x v="0"/>
    <x v="5"/>
    <n v="6"/>
    <x v="6"/>
    <x v="0"/>
    <x v="10"/>
    <n v="900000"/>
  </r>
  <r>
    <s v="06/02/2025"/>
    <x v="27"/>
    <x v="3"/>
    <x v="0"/>
    <n v="20"/>
    <x v="0"/>
    <x v="0"/>
    <x v="6"/>
    <n v="50000000"/>
  </r>
  <r>
    <s v="06/04/2025"/>
    <x v="19"/>
    <x v="0"/>
    <x v="3"/>
    <n v="12"/>
    <x v="3"/>
    <x v="0"/>
    <x v="11"/>
    <n v="780000"/>
  </r>
  <r>
    <s v="07/02/2025"/>
    <x v="32"/>
    <x v="0"/>
    <x v="3"/>
    <n v="4"/>
    <x v="11"/>
    <x v="5"/>
    <x v="13"/>
    <n v="294960"/>
  </r>
  <r>
    <s v="07/03/2025"/>
    <x v="33"/>
    <x v="1"/>
    <x v="4"/>
    <n v="18"/>
    <x v="5"/>
    <x v="6"/>
    <x v="0"/>
    <n v="3150000"/>
  </r>
  <r>
    <s v="07/05/2025"/>
    <x v="34"/>
    <x v="2"/>
    <x v="2"/>
    <n v="10"/>
    <x v="2"/>
    <x v="5"/>
    <x v="4"/>
    <n v="1800000"/>
  </r>
  <r>
    <s v="30/06/2025"/>
    <x v="35"/>
    <x v="1"/>
    <x v="8"/>
    <n v="10"/>
    <x v="3"/>
    <x v="8"/>
    <x v="1"/>
    <n v="650000"/>
  </r>
  <r>
    <s v="25/02/2025"/>
    <x v="11"/>
    <x v="2"/>
    <x v="5"/>
    <n v="3"/>
    <x v="6"/>
    <x v="9"/>
    <x v="13"/>
    <n v="450000"/>
  </r>
  <r>
    <s v="13/01/2025"/>
    <x v="36"/>
    <x v="0"/>
    <x v="2"/>
    <n v="8"/>
    <x v="2"/>
    <x v="3"/>
    <x v="6"/>
    <n v="1440000"/>
  </r>
  <r>
    <s v="15/06/2025"/>
    <x v="37"/>
    <x v="0"/>
    <x v="0"/>
    <n v="3"/>
    <x v="10"/>
    <x v="5"/>
    <x v="4"/>
    <n v="750000"/>
  </r>
  <r>
    <s v="28/02/2025"/>
    <x v="38"/>
    <x v="1"/>
    <x v="6"/>
    <n v="18"/>
    <x v="7"/>
    <x v="1"/>
    <x v="5"/>
    <n v="1530000"/>
  </r>
  <r>
    <s v="19/02/2025"/>
    <x v="39"/>
    <x v="3"/>
    <x v="5"/>
    <n v="9"/>
    <x v="6"/>
    <x v="5"/>
    <x v="7"/>
    <n v="1350000"/>
  </r>
  <r>
    <s v="03/03/2025"/>
    <x v="40"/>
    <x v="1"/>
    <x v="5"/>
    <n v="18"/>
    <x v="6"/>
    <x v="2"/>
    <x v="14"/>
    <n v="2700000"/>
  </r>
  <r>
    <s v="01/04/2025"/>
    <x v="41"/>
    <x v="3"/>
    <x v="5"/>
    <n v="11"/>
    <x v="6"/>
    <x v="5"/>
    <x v="4"/>
    <n v="1650000"/>
  </r>
  <r>
    <s v="07/04/2025"/>
    <x v="42"/>
    <x v="0"/>
    <x v="1"/>
    <n v="4"/>
    <x v="1"/>
    <x v="6"/>
    <x v="3"/>
    <n v="1400000"/>
  </r>
  <r>
    <s v="26/02/2025"/>
    <x v="18"/>
    <x v="0"/>
    <x v="5"/>
    <n v="19"/>
    <x v="6"/>
    <x v="10"/>
    <x v="7"/>
    <n v="2850000"/>
  </r>
  <r>
    <s v="01/06/2025"/>
    <x v="43"/>
    <x v="1"/>
    <x v="6"/>
    <n v="7"/>
    <x v="7"/>
    <x v="3"/>
    <x v="0"/>
    <n v="595000"/>
  </r>
  <r>
    <s v="14/01/2025"/>
    <x v="44"/>
    <x v="3"/>
    <x v="3"/>
    <n v="13"/>
    <x v="12"/>
    <x v="2"/>
    <x v="10"/>
    <n v="752856"/>
  </r>
  <r>
    <s v="22/02/2025"/>
    <x v="45"/>
    <x v="1"/>
    <x v="3"/>
    <n v="18"/>
    <x v="13"/>
    <x v="6"/>
    <x v="3"/>
    <n v="11700000"/>
  </r>
  <r>
    <s v="24/04/2025"/>
    <x v="46"/>
    <x v="3"/>
    <x v="3"/>
    <n v="5"/>
    <x v="3"/>
    <x v="3"/>
    <x v="7"/>
    <n v="325000"/>
  </r>
  <r>
    <s v="27/01/2025"/>
    <x v="47"/>
    <x v="0"/>
    <x v="1"/>
    <n v="13"/>
    <x v="1"/>
    <x v="4"/>
    <x v="10"/>
    <n v="4550000"/>
  </r>
  <r>
    <s v="04/01/2025"/>
    <x v="48"/>
    <x v="3"/>
    <x v="1"/>
    <n v="19"/>
    <x v="1"/>
    <x v="1"/>
    <x v="3"/>
    <n v="6650000"/>
  </r>
  <r>
    <s v="08/03/2025"/>
    <x v="49"/>
    <x v="2"/>
    <x v="2"/>
    <n v="9"/>
    <x v="2"/>
    <x v="3"/>
    <x v="15"/>
    <n v="1620000"/>
  </r>
  <r>
    <s v="23/01/2025"/>
    <x v="50"/>
    <x v="1"/>
    <x v="5"/>
    <n v="10"/>
    <x v="6"/>
    <x v="4"/>
    <x v="11"/>
    <n v="1500000"/>
  </r>
  <r>
    <s v="16/01/2025"/>
    <x v="25"/>
    <x v="1"/>
    <x v="6"/>
    <n v="10"/>
    <x v="7"/>
    <x v="3"/>
    <x v="7"/>
    <n v="850000"/>
  </r>
  <r>
    <s v="05/02/2025"/>
    <x v="51"/>
    <x v="0"/>
    <x v="0"/>
    <n v="5"/>
    <x v="14"/>
    <x v="3"/>
    <x v="2"/>
    <n v="125000"/>
  </r>
  <r>
    <s v="25/05/2025"/>
    <x v="17"/>
    <x v="1"/>
    <x v="5"/>
    <n v="1"/>
    <x v="6"/>
    <x v="6"/>
    <x v="1"/>
    <n v="150000"/>
  </r>
  <r>
    <s v="06/01/2025"/>
    <x v="52"/>
    <x v="0"/>
    <x v="5"/>
    <n v="20"/>
    <x v="6"/>
    <x v="3"/>
    <x v="8"/>
    <n v="3000000"/>
  </r>
  <r>
    <s v="06/02/2025"/>
    <x v="27"/>
    <x v="0"/>
    <x v="1"/>
    <n v="11"/>
    <x v="1"/>
    <x v="4"/>
    <x v="9"/>
    <n v="3850000"/>
  </r>
  <r>
    <s v="14/01/2025"/>
    <x v="44"/>
    <x v="1"/>
    <x v="0"/>
    <n v="14"/>
    <x v="10"/>
    <x v="4"/>
    <x v="4"/>
    <n v="3500000"/>
  </r>
  <r>
    <s v="02/05/2025"/>
    <x v="53"/>
    <x v="3"/>
    <x v="5"/>
    <n v="3"/>
    <x v="6"/>
    <x v="3"/>
    <x v="0"/>
    <n v="450000"/>
  </r>
  <r>
    <s v="17/06/2205"/>
    <x v="54"/>
    <x v="1"/>
    <x v="6"/>
    <n v="6"/>
    <x v="7"/>
    <x v="2"/>
    <x v="8"/>
    <n v="510000"/>
  </r>
  <r>
    <s v="13/01/2025"/>
    <x v="36"/>
    <x v="3"/>
    <x v="1"/>
    <n v="15"/>
    <x v="1"/>
    <x v="4"/>
    <x v="9"/>
    <n v="5250000"/>
  </r>
  <r>
    <s v="02/06/2025"/>
    <x v="55"/>
    <x v="2"/>
    <x v="5"/>
    <n v="16"/>
    <x v="6"/>
    <x v="1"/>
    <x v="4"/>
    <n v="2400000"/>
  </r>
  <r>
    <s v="16/02/2025"/>
    <x v="56"/>
    <x v="1"/>
    <x v="4"/>
    <n v="8"/>
    <x v="5"/>
    <x v="0"/>
    <x v="0"/>
    <n v="1400000"/>
  </r>
  <r>
    <s v="14/04/2025"/>
    <x v="57"/>
    <x v="0"/>
    <x v="6"/>
    <n v="2"/>
    <x v="7"/>
    <x v="4"/>
    <x v="7"/>
    <n v="170000"/>
  </r>
  <r>
    <s v="06/01/2025"/>
    <x v="52"/>
    <x v="2"/>
    <x v="0"/>
    <n v="13"/>
    <x v="10"/>
    <x v="6"/>
    <x v="4"/>
    <n v="3250000"/>
  </r>
  <r>
    <s v="11/01/2025"/>
    <x v="58"/>
    <x v="3"/>
    <x v="3"/>
    <n v="11"/>
    <x v="3"/>
    <x v="4"/>
    <x v="9"/>
    <n v="715000"/>
  </r>
  <r>
    <s v="17/06/2025"/>
    <x v="28"/>
    <x v="0"/>
    <x v="1"/>
    <n v="17"/>
    <x v="15"/>
    <x v="4"/>
    <x v="6"/>
    <n v="59500"/>
  </r>
  <r>
    <s v="14/01/2025"/>
    <x v="44"/>
    <x v="3"/>
    <x v="3"/>
    <n v="18"/>
    <x v="3"/>
    <x v="4"/>
    <x v="10"/>
    <n v="1170000"/>
  </r>
  <r>
    <s v="29/05/2025"/>
    <x v="59"/>
    <x v="1"/>
    <x v="2"/>
    <n v="13"/>
    <x v="2"/>
    <x v="6"/>
    <x v="2"/>
    <n v="2340000"/>
  </r>
  <r>
    <s v="15/03/2025"/>
    <x v="60"/>
    <x v="0"/>
    <x v="9"/>
    <n v="10"/>
    <x v="5"/>
    <x v="3"/>
    <x v="3"/>
    <n v="1750000"/>
  </r>
  <r>
    <s v="26/03/2025"/>
    <x v="61"/>
    <x v="1"/>
    <x v="6"/>
    <n v="5"/>
    <x v="7"/>
    <x v="6"/>
    <x v="15"/>
    <n v="425000"/>
  </r>
  <r>
    <s v="12/01/2025"/>
    <x v="62"/>
    <x v="2"/>
    <x v="1"/>
    <n v="17"/>
    <x v="1"/>
    <x v="5"/>
    <x v="8"/>
    <n v="5950000"/>
  </r>
  <r>
    <s v="23/01/2025"/>
    <x v="50"/>
    <x v="2"/>
    <x v="1"/>
    <n v="13"/>
    <x v="1"/>
    <x v="2"/>
    <x v="8"/>
    <n v="4550000"/>
  </r>
  <r>
    <s v="05/05/2025"/>
    <x v="63"/>
    <x v="2"/>
    <x v="1"/>
    <n v="8"/>
    <x v="1"/>
    <x v="1"/>
    <x v="11"/>
    <n v="2800000"/>
  </r>
  <r>
    <s v="19/05/2025"/>
    <x v="64"/>
    <x v="0"/>
    <x v="6"/>
    <n v="13"/>
    <x v="7"/>
    <x v="3"/>
    <x v="11"/>
    <n v="1105000"/>
  </r>
  <r>
    <s v="04/04/2025"/>
    <x v="65"/>
    <x v="1"/>
    <x v="5"/>
    <n v="17"/>
    <x v="6"/>
    <x v="2"/>
    <x v="1"/>
    <n v="2550000"/>
  </r>
  <r>
    <s v="26/02/2025"/>
    <x v="18"/>
    <x v="0"/>
    <x v="3"/>
    <n v="19"/>
    <x v="3"/>
    <x v="6"/>
    <x v="10"/>
    <n v="1235000"/>
  </r>
  <r>
    <s v="03/06/2025"/>
    <x v="66"/>
    <x v="2"/>
    <x v="5"/>
    <n v="1"/>
    <x v="6"/>
    <x v="6"/>
    <x v="15"/>
    <n v="150000"/>
  </r>
  <r>
    <s v="05/04/2025"/>
    <x v="67"/>
    <x v="1"/>
    <x v="0"/>
    <n v="13"/>
    <x v="10"/>
    <x v="4"/>
    <x v="11"/>
    <n v="3250000"/>
  </r>
  <r>
    <s v="30/01/2025"/>
    <x v="68"/>
    <x v="1"/>
    <x v="3"/>
    <n v="18"/>
    <x v="3"/>
    <x v="4"/>
    <x v="13"/>
    <n v="1170000"/>
  </r>
  <r>
    <s v="31/01/2025"/>
    <x v="16"/>
    <x v="2"/>
    <x v="0"/>
    <n v="20"/>
    <x v="10"/>
    <x v="3"/>
    <x v="6"/>
    <n v="5000000"/>
  </r>
  <r>
    <s v="27/05/2025"/>
    <x v="69"/>
    <x v="1"/>
    <x v="2"/>
    <n v="4"/>
    <x v="2"/>
    <x v="3"/>
    <x v="1"/>
    <n v="720000"/>
  </r>
  <r>
    <s v="08/04/2025"/>
    <x v="1"/>
    <x v="0"/>
    <x v="5"/>
    <n v="5"/>
    <x v="6"/>
    <x v="4"/>
    <x v="5"/>
    <n v="750000"/>
  </r>
  <r>
    <s v="13/02/2025"/>
    <x v="70"/>
    <x v="3"/>
    <x v="0"/>
    <n v="11"/>
    <x v="0"/>
    <x v="2"/>
    <x v="6"/>
    <n v="27500000"/>
  </r>
  <r>
    <s v="09/03/2025"/>
    <x v="71"/>
    <x v="1"/>
    <x v="0"/>
    <n v="20"/>
    <x v="10"/>
    <x v="11"/>
    <x v="10"/>
    <n v="5000000"/>
  </r>
  <r>
    <s v="20/02/2025"/>
    <x v="72"/>
    <x v="3"/>
    <x v="6"/>
    <n v="7"/>
    <x v="16"/>
    <x v="2"/>
    <x v="10"/>
    <n v="624631"/>
  </r>
  <r>
    <s v="19/02/2025"/>
    <x v="39"/>
    <x v="1"/>
    <x v="0"/>
    <n v="5"/>
    <x v="10"/>
    <x v="5"/>
    <x v="16"/>
    <n v="1250000"/>
  </r>
  <r>
    <s v="10/04/2025"/>
    <x v="73"/>
    <x v="1"/>
    <x v="4"/>
    <n v="19"/>
    <x v="5"/>
    <x v="5"/>
    <x v="7"/>
    <n v="3325000"/>
  </r>
  <r>
    <s v="21/05/2025"/>
    <x v="74"/>
    <x v="1"/>
    <x v="1"/>
    <n v="14"/>
    <x v="1"/>
    <x v="6"/>
    <x v="1"/>
    <n v="4900000"/>
  </r>
  <r>
    <s v="26/06/2025"/>
    <x v="75"/>
    <x v="1"/>
    <x v="4"/>
    <n v="20"/>
    <x v="5"/>
    <x v="5"/>
    <x v="0"/>
    <n v="3500000"/>
  </r>
  <r>
    <s v="20/02/2025"/>
    <x v="72"/>
    <x v="0"/>
    <x v="6"/>
    <n v="18"/>
    <x v="7"/>
    <x v="0"/>
    <x v="9"/>
    <n v="1530000"/>
  </r>
  <r>
    <s v="27/06/2025"/>
    <x v="76"/>
    <x v="2"/>
    <x v="4"/>
    <n v="17"/>
    <x v="5"/>
    <x v="1"/>
    <x v="8"/>
    <n v="2975000"/>
  </r>
  <r>
    <s v="05/02/2025"/>
    <x v="51"/>
    <x v="0"/>
    <x v="0"/>
    <n v="20"/>
    <x v="10"/>
    <x v="2"/>
    <x v="1"/>
    <n v="5000000"/>
  </r>
  <r>
    <s v="07/06/2025"/>
    <x v="77"/>
    <x v="0"/>
    <x v="1"/>
    <n v="20"/>
    <x v="1"/>
    <x v="0"/>
    <x v="10"/>
    <n v="7000000"/>
  </r>
  <r>
    <s v="13/05/2025"/>
    <x v="78"/>
    <x v="3"/>
    <x v="5"/>
    <n v="18"/>
    <x v="6"/>
    <x v="12"/>
    <x v="5"/>
    <n v="27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00F19-152F-4200-B6E2-78C8CF4860D3}" name="PivotTable1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>
  <location ref="A49:B62" firstHeaderRow="1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axis="axisRow" showAll="0" sortType="descending">
      <items count="16">
        <item x="8"/>
        <item x="3"/>
        <item x="4"/>
        <item x="2"/>
        <item x="6"/>
        <item x="12"/>
        <item x="1"/>
        <item x="11"/>
        <item x="7"/>
        <item x="5"/>
        <item x="9"/>
        <item x="0"/>
        <item m="1" x="14"/>
        <item x="10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t="default"/>
      </items>
    </pivotField>
  </pivotFields>
  <rowFields count="1">
    <field x="6"/>
  </rowFields>
  <rowItems count="13">
    <i>
      <x v="11"/>
    </i>
    <i>
      <x v="3"/>
    </i>
    <i>
      <x v="4"/>
    </i>
    <i>
      <x v="2"/>
    </i>
    <i>
      <x v="6"/>
    </i>
    <i>
      <x v="9"/>
    </i>
    <i>
      <x v="1"/>
    </i>
    <i>
      <x v="8"/>
    </i>
    <i>
      <x v="7"/>
    </i>
    <i>
      <x v="13"/>
    </i>
    <i>
      <x v="5"/>
    </i>
    <i>
      <x/>
    </i>
    <i>
      <x v="10"/>
    </i>
  </rowItems>
  <colItems count="1">
    <i/>
  </colItems>
  <dataFields count="1">
    <dataField name="Sum of Total sales" fld="8" baseField="0" baseItem="0"/>
  </dataFields>
  <formats count="2">
    <format dxfId="1">
      <pivotArea outline="0" collapsedLevelsAreSubtotals="1" fieldPosition="0"/>
    </format>
    <format dxfId="0">
      <pivotArea collapsedLevelsAreSubtotals="1" fieldPosition="0">
        <references count="1">
          <reference field="6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8AF8C-FED2-4985-974F-5735B63A3F19}" name="PivotTable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3:E4" firstHeaderRow="1" firstDataRow="1" firstDataCol="0"/>
  <pivotFields count="12">
    <pivotField dataField="1"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Items count="1">
    <i/>
  </rowItems>
  <colItems count="1">
    <i/>
  </colItems>
  <dataFields count="1">
    <dataField name="Number of Transactions" fld="0" subtotal="count" baseField="0" baseItem="0"/>
  </dataFields>
  <formats count="3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87A52-A19E-4719-B3DA-B95DEF37D5CC}" name="PivotTable9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>
  <location ref="A20:B30" firstHeaderRow="1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axis="axisRow" showAll="0" sortType="ascending">
      <items count="16">
        <item x="9"/>
        <item x="7"/>
        <item x="4"/>
        <item x="0"/>
        <item m="1" x="12"/>
        <item x="3"/>
        <item x="2"/>
        <item m="1" x="10"/>
        <item x="6"/>
        <item m="1" x="14"/>
        <item x="5"/>
        <item m="1" x="11"/>
        <item m="1" x="13"/>
        <item x="1"/>
        <item x="8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5"/>
    </i>
    <i>
      <x v="6"/>
    </i>
    <i>
      <x v="8"/>
    </i>
    <i>
      <x v="10"/>
    </i>
    <i>
      <x v="13"/>
    </i>
    <i>
      <x v="14"/>
    </i>
  </rowItems>
  <colItems count="1">
    <i/>
  </colItems>
  <dataFields count="1">
    <dataField name="Sum of Total sales" fld="8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D44DB-D999-4731-B9BE-8D56F41D32DD}" name="PivotTable7" cacheId="7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multipleFieldFilters="0" chartFormat="10">
  <location ref="A8:C12" firstHeaderRow="0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axis="axisRow" showAll="0" sortType="descending">
      <items count="10">
        <item x="1"/>
        <item m="1" x="7"/>
        <item x="2"/>
        <item m="1" x="6"/>
        <item x="0"/>
        <item m="1" x="5"/>
        <item x="3"/>
        <item m="1" x="4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Fields count="1">
    <field x="2"/>
  </rowFields>
  <rowItems count="4">
    <i>
      <x v="6"/>
    </i>
    <i>
      <x/>
    </i>
    <i>
      <x v="4"/>
    </i>
    <i>
      <x v="2"/>
    </i>
  </rowItems>
  <colFields count="1">
    <field x="-2"/>
  </colFields>
  <colItems count="2">
    <i>
      <x/>
    </i>
    <i i="1">
      <x v="1"/>
    </i>
  </colItems>
  <dataFields count="2">
    <dataField name="Sum of Total sales" fld="8" baseField="0" baseItem="0" numFmtId="165"/>
    <dataField name="Sum of Total sales2" fld="8" baseField="0" baseItem="0"/>
  </dataFields>
  <formats count="1">
    <format dxfId="6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F6837-FAB6-44B2-A34E-6D26C085F0F7}" name="PivotTable10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8">
  <location ref="D20:E24" firstHeaderRow="1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>
      <items count="10">
        <item x="1"/>
        <item m="1" x="7"/>
        <item x="2"/>
        <item m="1" x="6"/>
        <item x="0"/>
        <item m="1" x="5"/>
        <item x="3"/>
        <item m="1" x="4"/>
        <item m="1" x="8"/>
        <item t="default"/>
      </items>
    </pivotField>
    <pivotField axis="axisRow" showAll="0" measureFilter="1">
      <items count="16">
        <item x="9"/>
        <item x="7"/>
        <item x="4"/>
        <item x="0"/>
        <item m="1" x="12"/>
        <item x="3"/>
        <item x="2"/>
        <item m="1" x="10"/>
        <item x="6"/>
        <item m="1" x="14"/>
        <item x="5"/>
        <item m="1" x="11"/>
        <item m="1" x="13"/>
        <item x="1"/>
        <item x="8"/>
        <item t="default"/>
      </items>
    </pivotField>
    <pivotField dataField="1" showAll="0"/>
    <pivotField showAll="0">
      <items count="18">
        <item x="15"/>
        <item x="14"/>
        <item x="8"/>
        <item x="12"/>
        <item x="9"/>
        <item x="3"/>
        <item x="11"/>
        <item x="7"/>
        <item x="16"/>
        <item x="6"/>
        <item x="4"/>
        <item x="5"/>
        <item x="2"/>
        <item x="10"/>
        <item x="1"/>
        <item x="13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Fields count="1">
    <field x="3"/>
  </rowFields>
  <rowItems count="4">
    <i>
      <x v="3"/>
    </i>
    <i>
      <x v="5"/>
    </i>
    <i>
      <x v="10"/>
    </i>
    <i>
      <x v="13"/>
    </i>
  </rowItems>
  <colItems count="1">
    <i/>
  </colItems>
  <dataFields count="1">
    <dataField name="Sum of Units Sold" fld="4" baseField="0" baseItem="0"/>
  </dataFields>
  <formats count="4">
    <format dxfId="10">
      <pivotArea outline="0" collapsedLevelsAreSubtotals="1" fieldPosition="0"/>
    </format>
    <format dxfId="9">
      <pivotArea collapsedLevelsAreSubtotals="1" fieldPosition="0">
        <references count="1">
          <reference field="3" count="1">
            <x v="0"/>
          </reference>
        </references>
      </pivotArea>
    </format>
    <format dxfId="8">
      <pivotArea collapsedLevelsAreSubtotals="1" fieldPosition="0">
        <references count="1">
          <reference field="3" count="1">
            <x v="1"/>
          </reference>
        </references>
      </pivotArea>
    </format>
    <format dxfId="7">
      <pivotArea collapsedLevelsAreSubtotals="1" fieldPosition="0">
        <references count="1">
          <reference field="3" count="8">
            <x v="2"/>
            <x v="3"/>
            <x v="5"/>
            <x v="6"/>
            <x v="8"/>
            <x v="10"/>
            <x v="13"/>
            <x v="14"/>
          </reference>
        </references>
      </pivotArea>
    </format>
  </format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95DC9-2BE7-4110-B1CE-4072B9202283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4" firstHeaderRow="1" firstDataRow="1" firstDataCol="0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Items count="1">
    <i/>
  </rowItems>
  <colItems count="1">
    <i/>
  </colItems>
  <dataFields count="1">
    <dataField name="Sum of Total Revenue" fld="8" baseField="0" baseItem="0" numFmtId="165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6C3C9-1B36-46D8-9AC4-735174C4ED34}" name="PivotTable11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4">
  <location ref="A39:B45" firstHeaderRow="1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t="default"/>
      </items>
    </pivotField>
  </pivotFields>
  <rowFields count="2">
    <field x="9"/>
    <field x="11"/>
  </rowFields>
  <rowItems count="6"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ales" fld="8" baseField="0" baseItem="0"/>
  </dataFields>
  <formats count="1">
    <format dxfId="1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4A611-9C10-4D7C-8733-2DDED72F8EA8}" name="PivotTable12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>
  <location ref="G39:H56" firstHeaderRow="1" firstDataRow="1" firstDataCol="1"/>
  <pivotFields count="12">
    <pivotField dataField="1"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1">
        <item x="15"/>
        <item m="1" x="29"/>
        <item x="5"/>
        <item m="1" x="21"/>
        <item x="0"/>
        <item m="1" x="28"/>
        <item x="4"/>
        <item m="1" x="27"/>
        <item m="1" x="24"/>
        <item x="8"/>
        <item m="1" x="26"/>
        <item x="10"/>
        <item m="1" x="23"/>
        <item x="3"/>
        <item x="7"/>
        <item m="1" x="22"/>
        <item x="11"/>
        <item m="1" x="20"/>
        <item x="1"/>
        <item x="6"/>
        <item x="16"/>
        <item m="1" x="19"/>
        <item x="9"/>
        <item x="13"/>
        <item x="2"/>
        <item m="1" x="18"/>
        <item m="1" x="17"/>
        <item m="1" x="25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t="default"/>
      </items>
    </pivotField>
  </pivotFields>
  <rowFields count="1">
    <field x="7"/>
  </rowFields>
  <rowItems count="17">
    <i>
      <x v="11"/>
    </i>
    <i>
      <x v="18"/>
    </i>
    <i>
      <x v="19"/>
    </i>
    <i>
      <x v="4"/>
    </i>
    <i>
      <x v="6"/>
    </i>
    <i>
      <x v="14"/>
    </i>
    <i>
      <x v="9"/>
    </i>
    <i>
      <x v="13"/>
    </i>
    <i>
      <x v="2"/>
    </i>
    <i>
      <x v="16"/>
    </i>
    <i>
      <x v="22"/>
    </i>
    <i>
      <x v="24"/>
    </i>
    <i>
      <x v="23"/>
    </i>
    <i>
      <x/>
    </i>
    <i>
      <x v="28"/>
    </i>
    <i>
      <x v="29"/>
    </i>
    <i>
      <x v="20"/>
    </i>
  </rowItems>
  <colItems count="1">
    <i/>
  </colItems>
  <dataFields count="1">
    <dataField name="Count of Date" fld="0" subtotal="count" baseField="0" baseItem="0"/>
  </dataFields>
  <formats count="4">
    <format dxfId="16">
      <pivotArea outline="0" collapsedLevelsAreSubtotals="1" fieldPosition="0"/>
    </format>
    <format dxfId="15">
      <pivotArea collapsedLevelsAreSubtotals="1" fieldPosition="0">
        <references count="1">
          <reference field="7" count="1">
            <x v="0"/>
          </reference>
        </references>
      </pivotArea>
    </format>
    <format dxfId="14">
      <pivotArea collapsedLevelsAreSubtotals="1" fieldPosition="0">
        <references count="1">
          <reference field="7" count="25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13">
      <pivotArea collapsedLevelsAreSubtotals="1" fieldPosition="0">
        <references count="1">
          <reference field="7" count="2">
            <x v="28"/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7854E-69AC-4BA5-ADF5-FF722D0FBF3B}" name="PivotTable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C3:C4" firstHeaderRow="1" firstDataRow="1" firstDataCol="0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Items count="1">
    <i/>
  </rowItems>
  <colItems count="1">
    <i/>
  </colItems>
  <dataFields count="1">
    <dataField name="Sum of Units Sold" fld="4" baseField="0" baseItem="0" numFmtId="167"/>
  </dataFields>
  <formats count="3">
    <format dxfId="19">
      <pivotArea type="all" dataOnly="0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BCA4F-659C-45DF-B47D-B623B2F714E9}" name="PivotTable6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3">
  <location ref="D39:E44" firstHeaderRow="1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31">
        <item x="15"/>
        <item m="1" x="29"/>
        <item x="5"/>
        <item m="1" x="21"/>
        <item x="0"/>
        <item m="1" x="28"/>
        <item x="4"/>
        <item m="1" x="27"/>
        <item m="1" x="24"/>
        <item x="8"/>
        <item m="1" x="26"/>
        <item x="10"/>
        <item m="1" x="23"/>
        <item x="3"/>
        <item x="7"/>
        <item m="1" x="22"/>
        <item x="11"/>
        <item m="1" x="20"/>
        <item x="1"/>
        <item x="6"/>
        <item x="16"/>
        <item m="1" x="19"/>
        <item x="9"/>
        <item x="13"/>
        <item x="2"/>
        <item m="1" x="18"/>
        <item m="1" x="17"/>
        <item m="1" x="25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t="default"/>
      </items>
    </pivotField>
  </pivotFields>
  <rowFields count="1">
    <field x="7"/>
  </rowFields>
  <rowItems count="5">
    <i>
      <x v="19"/>
    </i>
    <i>
      <x v="4"/>
    </i>
    <i>
      <x v="11"/>
    </i>
    <i>
      <x v="18"/>
    </i>
    <i>
      <x v="13"/>
    </i>
  </rowItems>
  <colItems count="1">
    <i/>
  </colItems>
  <dataFields count="1">
    <dataField name="Sum of Total sales" fld="8" baseField="0" baseItem="0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C87EE-E69E-4C13-BD63-90238775ED08}" name="PivotTable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G3:G4" firstHeaderRow="1" firstDataRow="1" firstDataCol="0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Items count="1">
    <i/>
  </rowItems>
  <colItems count="1">
    <i/>
  </colItems>
  <dataFields count="1">
    <dataField name="Average of Unit Price" fld="5" subtotal="average" baseField="0" baseItem="0" numFmtId="166"/>
  </dataFields>
  <formats count="3"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D90AF-0C50-49B8-9725-85807C571326}" name="PivotTable8" cacheId="7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5">
  <location ref="D8:F12" firstHeaderRow="0" firstDataRow="1" firstDataCol="1"/>
  <pivotFields count="12">
    <pivotField showAll="0"/>
    <pivotField numFmtId="14" showAll="0">
      <items count="80">
        <item x="48"/>
        <item x="52"/>
        <item x="29"/>
        <item x="58"/>
        <item x="62"/>
        <item x="36"/>
        <item x="44"/>
        <item x="25"/>
        <item x="50"/>
        <item x="47"/>
        <item x="4"/>
        <item x="2"/>
        <item x="68"/>
        <item x="16"/>
        <item x="8"/>
        <item x="13"/>
        <item x="51"/>
        <item x="27"/>
        <item x="32"/>
        <item x="7"/>
        <item x="70"/>
        <item x="56"/>
        <item x="39"/>
        <item x="72"/>
        <item x="45"/>
        <item x="20"/>
        <item x="11"/>
        <item x="18"/>
        <item x="38"/>
        <item x="40"/>
        <item x="33"/>
        <item x="49"/>
        <item x="71"/>
        <item x="60"/>
        <item x="31"/>
        <item x="21"/>
        <item x="61"/>
        <item x="41"/>
        <item x="65"/>
        <item x="67"/>
        <item x="19"/>
        <item x="42"/>
        <item x="1"/>
        <item x="73"/>
        <item x="57"/>
        <item x="14"/>
        <item x="10"/>
        <item x="46"/>
        <item x="12"/>
        <item x="53"/>
        <item x="63"/>
        <item x="6"/>
        <item x="34"/>
        <item x="26"/>
        <item x="24"/>
        <item x="23"/>
        <item x="78"/>
        <item x="3"/>
        <item x="64"/>
        <item x="74"/>
        <item x="17"/>
        <item x="5"/>
        <item x="69"/>
        <item x="22"/>
        <item x="59"/>
        <item x="43"/>
        <item x="55"/>
        <item x="66"/>
        <item x="77"/>
        <item x="15"/>
        <item x="0"/>
        <item x="37"/>
        <item x="28"/>
        <item x="75"/>
        <item x="76"/>
        <item x="9"/>
        <item x="30"/>
        <item x="35"/>
        <item x="54"/>
        <item t="default"/>
      </items>
    </pivotField>
    <pivotField axis="axisRow" showAll="0">
      <items count="10">
        <item x="1"/>
        <item m="1" x="7"/>
        <item x="2"/>
        <item m="1" x="6"/>
        <item x="0"/>
        <item m="1" x="5"/>
        <item x="3"/>
        <item m="1" x="4"/>
        <item m="1"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</pivotFields>
  <rowFields count="1">
    <field x="2"/>
  </rowFields>
  <rowItems count="4">
    <i>
      <x/>
    </i>
    <i>
      <x v="2"/>
    </i>
    <i>
      <x v="4"/>
    </i>
    <i>
      <x v="6"/>
    </i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Units Sold2" fld="4" baseField="0" baseItem="0"/>
  </dataFields>
  <formats count="3">
    <format dxfId="25">
      <pivotArea outline="0" collapsedLevelsAreSubtotals="1" fieldPosition="0"/>
    </format>
    <format dxfId="24">
      <pivotArea collapsedLevelsAreSubtotals="1" fieldPosition="0">
        <references count="1">
          <reference field="2" count="1">
            <x v="0"/>
          </reference>
        </references>
      </pivotArea>
    </format>
    <format dxfId="23">
      <pivotArea collapsedLevelsAreSubtotals="1" fieldPosition="0">
        <references count="1">
          <reference field="2" count="3">
            <x v="2"/>
            <x v="4"/>
            <x v="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EA72F-239C-42B8-8E22-ADC5E5317C0D}" name="Table1" displayName="Table1" ref="A1:I1048576" totalsRowShown="0" headerRowDxfId="37" headerRowBorderDxfId="36" tableBorderDxfId="35">
  <autoFilter ref="A1:I1048576" xr:uid="{136EA72F-239C-42B8-8E22-ADC5E5317C0D}"/>
  <tableColumns count="9">
    <tableColumn id="1" xr3:uid="{E088BE16-50F5-4AE6-AB60-F47ECAB2358D}" name="Date" dataDxfId="34"/>
    <tableColumn id="2" xr3:uid="{50A8038D-62D6-4A96-907B-04265B97E903}" name="Region"/>
    <tableColumn id="3" xr3:uid="{16330971-4D37-456C-87BA-9EDCB8BC43B9}" name="Product"/>
    <tableColumn id="4" xr3:uid="{13E0C854-731C-490B-B954-178553E2A0E6}" name="Category"/>
    <tableColumn id="5" xr3:uid="{2AD7F3BC-F182-42DB-A2BE-E59759A62714}" name="Column1"/>
    <tableColumn id="6" xr3:uid="{AE692AE4-F4FC-4156-9BEE-BBD05B38A083}" name="Units Sold" dataDxfId="33"/>
    <tableColumn id="7" xr3:uid="{D4F92CEF-1949-4014-8B7B-5CDF9CBC0E63}" name="Unit Price" dataDxfId="32"/>
    <tableColumn id="8" xr3:uid="{D08E15B9-F78E-4039-BF30-F8BC6A598174}" name="Sales Rep"/>
    <tableColumn id="9" xr3:uid="{DBA7B4EE-F9B6-4477-A361-E9547521767F}" name="Custom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985F76-D3AF-48E5-BD4D-FF6922F391E4}" name="Table2" displayName="Table2" ref="A1:I101" totalsRowShown="0" tableBorderDxfId="31">
  <autoFilter ref="A1:I101" xr:uid="{E3985F76-D3AF-48E5-BD4D-FF6922F391E4}"/>
  <tableColumns count="9">
    <tableColumn id="1" xr3:uid="{4C455BDE-3772-4E23-86D5-A13ED2A9E897}" name="Date" dataDxfId="30"/>
    <tableColumn id="10" xr3:uid="{13F72EBC-8B6A-41F7-978D-82AE9F179104}" name="Proper Date" dataDxfId="29">
      <calculatedColumnFormula>DATE(RIGHT(Table2[[#This Row],[Date]],4), MID(Table2[[#This Row],[Date]],4,2), LEFT(Table2[[#This Row],[Date]],2))</calculatedColumnFormula>
    </tableColumn>
    <tableColumn id="2" xr3:uid="{ED862DFB-5B6C-4B93-ADBD-2EE5F9D65205}" name="Region"/>
    <tableColumn id="3" xr3:uid="{19E6E349-5051-4572-900C-ADA2F882E469}" name="Product">
      <calculatedColumnFormula>UPPER(TRIM(CLEAN(('Raw Data'!C2))))</calculatedColumnFormula>
    </tableColumn>
    <tableColumn id="4" xr3:uid="{4C746195-99ED-4531-BF72-2CE2D4935268}" name="Units Sold" dataDxfId="28"/>
    <tableColumn id="5" xr3:uid="{42788452-71AC-4938-BA56-54E5B6BA7515}" name="Unit Price" dataDxfId="27"/>
    <tableColumn id="6" xr3:uid="{0963D987-EE65-4886-A9AB-766D67A872DA}" name="Sale Rep"/>
    <tableColumn id="7" xr3:uid="{E2D0D080-E6FC-4A4E-BE8E-37153531C7B1}" name="Customers"/>
    <tableColumn id="8" xr3:uid="{487B332F-FAAC-4F64-B09E-E8F97B614AF1}" name="Total sales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AE3-4DFA-46B3-8FA3-6F0C05532777}">
  <dimension ref="A1:O15"/>
  <sheetViews>
    <sheetView workbookViewId="0"/>
  </sheetViews>
  <sheetFormatPr defaultColWidth="0" defaultRowHeight="14.5" zeroHeight="1" x14ac:dyDescent="0.35"/>
  <cols>
    <col min="1" max="1" width="3.453125" style="3" customWidth="1"/>
    <col min="2" max="15" width="8.7265625" style="3" customWidth="1"/>
    <col min="16" max="16384" width="8.7265625" style="3" hidden="1"/>
  </cols>
  <sheetData>
    <row r="1" spans="2:14" x14ac:dyDescent="0.35"/>
    <row r="2" spans="2:14" ht="34" thickBot="1" x14ac:dyDescent="0.8">
      <c r="B2" s="4" t="s">
        <v>398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x14ac:dyDescent="0.35"/>
    <row r="4" spans="2:14" x14ac:dyDescent="0.35"/>
    <row r="5" spans="2:14" x14ac:dyDescent="0.35"/>
    <row r="6" spans="2:14" x14ac:dyDescent="0.35"/>
    <row r="7" spans="2:14" x14ac:dyDescent="0.35"/>
    <row r="8" spans="2:14" x14ac:dyDescent="0.35"/>
    <row r="9" spans="2:14" x14ac:dyDescent="0.35"/>
    <row r="10" spans="2:14" x14ac:dyDescent="0.35"/>
    <row r="11" spans="2:14" x14ac:dyDescent="0.35"/>
    <row r="12" spans="2:14" x14ac:dyDescent="0.35"/>
    <row r="13" spans="2:14" x14ac:dyDescent="0.35"/>
    <row r="14" spans="2:14" x14ac:dyDescent="0.35"/>
    <row r="15" spans="2:14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8.81640625" style="8" customWidth="1"/>
    <col min="2" max="5" width="18.81640625" customWidth="1"/>
    <col min="6" max="6" width="18.81640625" style="11" customWidth="1"/>
    <col min="7" max="7" width="18.81640625" style="14" customWidth="1"/>
    <col min="8" max="10" width="18.81640625" customWidth="1"/>
  </cols>
  <sheetData>
    <row r="1" spans="1:9" x14ac:dyDescent="0.35">
      <c r="A1" s="26" t="s">
        <v>0</v>
      </c>
      <c r="B1" s="27" t="s">
        <v>1</v>
      </c>
      <c r="C1" s="27" t="s">
        <v>2</v>
      </c>
      <c r="D1" s="27" t="s">
        <v>3</v>
      </c>
      <c r="E1" s="27" t="s">
        <v>441</v>
      </c>
      <c r="F1" s="28" t="s">
        <v>4</v>
      </c>
      <c r="G1" s="29" t="s">
        <v>5</v>
      </c>
      <c r="H1" s="27" t="s">
        <v>6</v>
      </c>
      <c r="I1" s="27" t="s">
        <v>7</v>
      </c>
    </row>
    <row r="2" spans="1:9" x14ac:dyDescent="0.35">
      <c r="A2" s="7">
        <v>45821</v>
      </c>
      <c r="B2" s="1" t="s">
        <v>8</v>
      </c>
      <c r="C2" s="1" t="s">
        <v>9</v>
      </c>
      <c r="D2" s="1" t="s">
        <v>10</v>
      </c>
      <c r="E2" s="1" t="str">
        <f t="shared" ref="E2:E33" si="0">PROPER(TRIM(D2))</f>
        <v>Computers</v>
      </c>
      <c r="F2" s="10">
        <v>8</v>
      </c>
      <c r="G2" s="13">
        <v>2500000</v>
      </c>
      <c r="H2" s="1" t="s">
        <v>11</v>
      </c>
      <c r="I2" s="1" t="s">
        <v>12</v>
      </c>
    </row>
    <row r="3" spans="1:9" x14ac:dyDescent="0.35">
      <c r="A3" s="7">
        <v>45755</v>
      </c>
      <c r="B3" s="1" t="s">
        <v>13</v>
      </c>
      <c r="C3" s="1" t="s">
        <v>14</v>
      </c>
      <c r="D3" s="1" t="s">
        <v>15</v>
      </c>
      <c r="E3" s="1" t="str">
        <f t="shared" si="0"/>
        <v>Electronics</v>
      </c>
      <c r="F3" s="10">
        <v>6</v>
      </c>
      <c r="G3" s="13">
        <v>350000</v>
      </c>
      <c r="H3" s="1" t="s">
        <v>16</v>
      </c>
      <c r="I3" s="1" t="s">
        <v>17</v>
      </c>
    </row>
    <row r="4" spans="1:9" x14ac:dyDescent="0.35">
      <c r="A4" s="7">
        <v>45686</v>
      </c>
      <c r="B4" s="1" t="s">
        <v>62</v>
      </c>
      <c r="C4" s="1" t="s">
        <v>18</v>
      </c>
      <c r="D4" s="1" t="s">
        <v>19</v>
      </c>
      <c r="E4" s="1" t="str">
        <f t="shared" si="0"/>
        <v>Mobile</v>
      </c>
      <c r="F4" s="10">
        <v>14</v>
      </c>
      <c r="G4" s="13">
        <v>180000</v>
      </c>
      <c r="H4" s="1" t="s">
        <v>20</v>
      </c>
      <c r="I4" s="1" t="s">
        <v>21</v>
      </c>
    </row>
    <row r="5" spans="1:9" x14ac:dyDescent="0.35">
      <c r="A5" s="7" t="s">
        <v>22</v>
      </c>
      <c r="B5" s="1" t="s">
        <v>23</v>
      </c>
      <c r="C5" s="1" t="s">
        <v>408</v>
      </c>
      <c r="D5" s="1" t="s">
        <v>24</v>
      </c>
      <c r="E5" s="1" t="str">
        <f t="shared" si="0"/>
        <v>Peripherals</v>
      </c>
      <c r="F5" s="10">
        <v>18</v>
      </c>
      <c r="G5" s="13">
        <v>65000</v>
      </c>
      <c r="H5" s="1" t="s">
        <v>25</v>
      </c>
      <c r="I5" s="1" t="s">
        <v>471</v>
      </c>
    </row>
    <row r="6" spans="1:9" x14ac:dyDescent="0.35">
      <c r="A6" s="7" t="s">
        <v>26</v>
      </c>
      <c r="B6" s="1" t="s">
        <v>27</v>
      </c>
      <c r="C6" s="1" t="s">
        <v>28</v>
      </c>
      <c r="D6" s="1" t="s">
        <v>29</v>
      </c>
      <c r="E6" s="1" t="str">
        <f t="shared" si="0"/>
        <v>Mobile</v>
      </c>
      <c r="F6" s="10">
        <v>5</v>
      </c>
      <c r="G6" s="13">
        <v>180000</v>
      </c>
      <c r="H6" s="1" t="s">
        <v>44</v>
      </c>
      <c r="I6" s="1" t="s">
        <v>470</v>
      </c>
    </row>
    <row r="7" spans="1:9" x14ac:dyDescent="0.35">
      <c r="A7" s="7" t="s">
        <v>30</v>
      </c>
      <c r="B7" s="1" t="s">
        <v>258</v>
      </c>
      <c r="C7" s="1" t="s">
        <v>28</v>
      </c>
      <c r="D7" s="1" t="s">
        <v>31</v>
      </c>
      <c r="E7" s="1" t="str">
        <f t="shared" si="0"/>
        <v>Mobile</v>
      </c>
      <c r="F7" s="10">
        <v>19</v>
      </c>
      <c r="G7" s="13">
        <v>157427</v>
      </c>
      <c r="H7" s="1" t="s">
        <v>32</v>
      </c>
      <c r="I7" s="1" t="s">
        <v>33</v>
      </c>
    </row>
    <row r="8" spans="1:9" x14ac:dyDescent="0.35">
      <c r="A8" s="7" t="s">
        <v>34</v>
      </c>
      <c r="B8" s="1" t="s">
        <v>35</v>
      </c>
      <c r="C8" s="1" t="s">
        <v>36</v>
      </c>
      <c r="D8" s="1" t="s">
        <v>37</v>
      </c>
      <c r="E8" s="1" t="str">
        <f t="shared" si="0"/>
        <v>Electronics</v>
      </c>
      <c r="F8" s="10">
        <v>3</v>
      </c>
      <c r="G8" s="13">
        <v>350000</v>
      </c>
      <c r="H8" s="1" t="s">
        <v>38</v>
      </c>
      <c r="I8" s="1" t="s">
        <v>39</v>
      </c>
    </row>
    <row r="9" spans="1:9" x14ac:dyDescent="0.35">
      <c r="A9" s="7" t="s">
        <v>40</v>
      </c>
      <c r="B9" s="1" t="s">
        <v>41</v>
      </c>
      <c r="C9" s="1" t="s">
        <v>42</v>
      </c>
      <c r="D9" s="1" t="s">
        <v>43</v>
      </c>
      <c r="E9" s="1" t="str">
        <f t="shared" si="0"/>
        <v>Peripherals</v>
      </c>
      <c r="F9" s="10">
        <v>2</v>
      </c>
      <c r="G9" s="13">
        <v>65000</v>
      </c>
      <c r="H9" s="1" t="s">
        <v>44</v>
      </c>
      <c r="I9" s="1" t="s">
        <v>17</v>
      </c>
    </row>
    <row r="10" spans="1:9" x14ac:dyDescent="0.35">
      <c r="A10" s="7" t="s">
        <v>45</v>
      </c>
      <c r="B10" s="1" t="s">
        <v>46</v>
      </c>
      <c r="C10" s="1" t="s">
        <v>47</v>
      </c>
      <c r="D10" s="1" t="s">
        <v>48</v>
      </c>
      <c r="E10" s="1" t="str">
        <f t="shared" si="0"/>
        <v>Photography</v>
      </c>
      <c r="F10" s="10">
        <v>14</v>
      </c>
      <c r="G10" s="13">
        <v>175000</v>
      </c>
      <c r="H10" s="1" t="s">
        <v>49</v>
      </c>
      <c r="I10" s="1" t="s">
        <v>469</v>
      </c>
    </row>
    <row r="11" spans="1:9" x14ac:dyDescent="0.35">
      <c r="A11" s="7" t="s">
        <v>50</v>
      </c>
      <c r="B11" s="1" t="s">
        <v>51</v>
      </c>
      <c r="C11" s="1" t="s">
        <v>52</v>
      </c>
      <c r="D11" s="1" t="s">
        <v>409</v>
      </c>
      <c r="E11" s="1" t="str">
        <f t="shared" si="0"/>
        <v>Mobile</v>
      </c>
      <c r="F11" s="10">
        <v>4</v>
      </c>
      <c r="G11" s="13">
        <v>150000</v>
      </c>
      <c r="H11" s="1" t="s">
        <v>53</v>
      </c>
      <c r="I11" s="1" t="s">
        <v>54</v>
      </c>
    </row>
    <row r="12" spans="1:9" x14ac:dyDescent="0.35">
      <c r="A12" s="7" t="s">
        <v>55</v>
      </c>
      <c r="B12" s="1" t="s">
        <v>56</v>
      </c>
      <c r="C12" s="1" t="s">
        <v>57</v>
      </c>
      <c r="D12" s="1" t="s">
        <v>58</v>
      </c>
      <c r="E12" s="1" t="str">
        <f t="shared" si="0"/>
        <v>Mobile</v>
      </c>
      <c r="F12" s="10">
        <v>20</v>
      </c>
      <c r="G12" s="13">
        <v>150000</v>
      </c>
      <c r="H12" s="1" t="s">
        <v>59</v>
      </c>
      <c r="I12" s="1" t="s">
        <v>60</v>
      </c>
    </row>
    <row r="13" spans="1:9" x14ac:dyDescent="0.35">
      <c r="A13" s="7" t="s">
        <v>61</v>
      </c>
      <c r="B13" s="1" t="s">
        <v>62</v>
      </c>
      <c r="C13" s="1" t="s">
        <v>475</v>
      </c>
      <c r="D13" s="1" t="s">
        <v>63</v>
      </c>
      <c r="E13" s="1" t="str">
        <f t="shared" si="0"/>
        <v>Audio</v>
      </c>
      <c r="F13" s="10">
        <v>6</v>
      </c>
      <c r="G13" s="13">
        <v>85000</v>
      </c>
      <c r="H13" s="1" t="s">
        <v>64</v>
      </c>
      <c r="I13" s="1" t="s">
        <v>65</v>
      </c>
    </row>
    <row r="14" spans="1:9" x14ac:dyDescent="0.35">
      <c r="A14" s="7" t="s">
        <v>66</v>
      </c>
      <c r="B14" s="1" t="s">
        <v>35</v>
      </c>
      <c r="C14" s="1" t="s">
        <v>67</v>
      </c>
      <c r="D14" s="1" t="s">
        <v>68</v>
      </c>
      <c r="E14" s="1" t="str">
        <f t="shared" si="0"/>
        <v>Mobile</v>
      </c>
      <c r="F14" s="10">
        <v>1</v>
      </c>
      <c r="G14" s="13">
        <v>150000</v>
      </c>
      <c r="H14" s="1" t="s">
        <v>69</v>
      </c>
      <c r="I14" s="1" t="s">
        <v>70</v>
      </c>
    </row>
    <row r="15" spans="1:9" x14ac:dyDescent="0.35">
      <c r="A15" s="7" t="s">
        <v>71</v>
      </c>
      <c r="B15" s="1" t="s">
        <v>405</v>
      </c>
      <c r="C15" s="1" t="s">
        <v>72</v>
      </c>
      <c r="D15" s="1" t="s">
        <v>15</v>
      </c>
      <c r="E15" s="1" t="str">
        <f t="shared" si="0"/>
        <v>Electronics</v>
      </c>
      <c r="F15" s="10">
        <v>18</v>
      </c>
      <c r="G15" s="13">
        <v>35000</v>
      </c>
      <c r="H15" s="1" t="s">
        <v>73</v>
      </c>
      <c r="I15" s="1" t="s">
        <v>74</v>
      </c>
    </row>
    <row r="16" spans="1:9" x14ac:dyDescent="0.35">
      <c r="A16" s="7" t="s">
        <v>75</v>
      </c>
      <c r="B16" s="1" t="s">
        <v>76</v>
      </c>
      <c r="C16" s="1" t="s">
        <v>77</v>
      </c>
      <c r="D16" s="1" t="s">
        <v>63</v>
      </c>
      <c r="E16" s="1" t="str">
        <f t="shared" si="0"/>
        <v>Audio</v>
      </c>
      <c r="F16" s="10">
        <v>2</v>
      </c>
      <c r="G16" s="13">
        <v>85000</v>
      </c>
      <c r="H16" s="1" t="s">
        <v>78</v>
      </c>
      <c r="I16" s="1" t="s">
        <v>79</v>
      </c>
    </row>
    <row r="17" spans="1:9" x14ac:dyDescent="0.35">
      <c r="A17" s="7" t="s">
        <v>80</v>
      </c>
      <c r="B17" s="1" t="s">
        <v>81</v>
      </c>
      <c r="C17" s="1" t="s">
        <v>82</v>
      </c>
      <c r="D17" s="1" t="s">
        <v>83</v>
      </c>
      <c r="E17" s="1" t="str">
        <f t="shared" si="0"/>
        <v>Peripherals</v>
      </c>
      <c r="F17" s="10">
        <v>11</v>
      </c>
      <c r="G17" s="13">
        <v>62035</v>
      </c>
      <c r="H17" s="1" t="s">
        <v>84</v>
      </c>
      <c r="I17" s="1" t="s">
        <v>85</v>
      </c>
    </row>
    <row r="18" spans="1:9" x14ac:dyDescent="0.35">
      <c r="A18" s="7" t="s">
        <v>86</v>
      </c>
      <c r="B18" s="1" t="s">
        <v>87</v>
      </c>
      <c r="C18" s="1" t="s">
        <v>88</v>
      </c>
      <c r="D18" s="1" t="s">
        <v>89</v>
      </c>
      <c r="E18" s="1" t="str">
        <f t="shared" si="0"/>
        <v>Photography</v>
      </c>
      <c r="F18" s="10">
        <v>10</v>
      </c>
      <c r="G18" s="13">
        <v>175000</v>
      </c>
      <c r="H18" s="1" t="s">
        <v>90</v>
      </c>
      <c r="I18" s="1" t="s">
        <v>65</v>
      </c>
    </row>
    <row r="19" spans="1:9" x14ac:dyDescent="0.35">
      <c r="A19" s="7" t="s">
        <v>91</v>
      </c>
      <c r="B19" s="1" t="s">
        <v>92</v>
      </c>
      <c r="C19" s="1" t="s">
        <v>93</v>
      </c>
      <c r="D19" s="1" t="s">
        <v>31</v>
      </c>
      <c r="E19" s="1" t="str">
        <f t="shared" si="0"/>
        <v>Mobile</v>
      </c>
      <c r="F19" s="10">
        <v>4</v>
      </c>
      <c r="G19" s="13">
        <v>150000</v>
      </c>
      <c r="H19" s="1" t="s">
        <v>94</v>
      </c>
      <c r="I19" s="1" t="s">
        <v>95</v>
      </c>
    </row>
    <row r="20" spans="1:9" x14ac:dyDescent="0.35">
      <c r="A20" s="7" t="s">
        <v>96</v>
      </c>
      <c r="B20" s="1" t="s">
        <v>51</v>
      </c>
      <c r="C20" s="1" t="s">
        <v>97</v>
      </c>
      <c r="D20" s="1" t="s">
        <v>98</v>
      </c>
      <c r="E20" s="1" t="str">
        <f t="shared" si="0"/>
        <v>Photography</v>
      </c>
      <c r="F20" s="10">
        <v>3</v>
      </c>
      <c r="G20" s="13">
        <v>175000</v>
      </c>
      <c r="H20" s="1" t="s">
        <v>99</v>
      </c>
      <c r="I20" s="1" t="s">
        <v>100</v>
      </c>
    </row>
    <row r="21" spans="1:9" x14ac:dyDescent="0.35">
      <c r="A21" s="7" t="s">
        <v>101</v>
      </c>
      <c r="B21" s="1" t="s">
        <v>102</v>
      </c>
      <c r="C21" s="1" t="s">
        <v>103</v>
      </c>
      <c r="D21" s="1" t="s">
        <v>98</v>
      </c>
      <c r="E21" s="1" t="str">
        <f t="shared" si="0"/>
        <v>Photography</v>
      </c>
      <c r="F21" s="10">
        <v>5</v>
      </c>
      <c r="G21" s="13">
        <v>175000</v>
      </c>
      <c r="H21" s="1" t="s">
        <v>104</v>
      </c>
      <c r="I21" s="1" t="s">
        <v>100</v>
      </c>
    </row>
    <row r="22" spans="1:9" x14ac:dyDescent="0.35">
      <c r="A22" s="7">
        <v>45753</v>
      </c>
      <c r="B22" s="1" t="s">
        <v>105</v>
      </c>
      <c r="C22" s="1" t="s">
        <v>106</v>
      </c>
      <c r="D22" s="1" t="s">
        <v>107</v>
      </c>
      <c r="E22" s="1" t="str">
        <f t="shared" si="0"/>
        <v>Computers</v>
      </c>
      <c r="F22" s="10">
        <v>20</v>
      </c>
      <c r="G22" s="13">
        <v>250000</v>
      </c>
      <c r="H22" s="1" t="s">
        <v>108</v>
      </c>
      <c r="I22" s="1" t="s">
        <v>33</v>
      </c>
    </row>
    <row r="23" spans="1:9" x14ac:dyDescent="0.35">
      <c r="A23" s="7" t="s">
        <v>109</v>
      </c>
      <c r="B23" s="1" t="s">
        <v>87</v>
      </c>
      <c r="C23" s="1" t="s">
        <v>110</v>
      </c>
      <c r="D23" s="1" t="s">
        <v>111</v>
      </c>
      <c r="E23" s="1" t="str">
        <f t="shared" si="0"/>
        <v>Photography</v>
      </c>
      <c r="F23" s="10">
        <v>2</v>
      </c>
      <c r="G23" s="13">
        <v>175000</v>
      </c>
      <c r="H23" s="1" t="s">
        <v>112</v>
      </c>
      <c r="I23" s="1" t="s">
        <v>113</v>
      </c>
    </row>
    <row r="24" spans="1:9" x14ac:dyDescent="0.35">
      <c r="A24" s="7" t="s">
        <v>114</v>
      </c>
      <c r="B24" s="1" t="s">
        <v>115</v>
      </c>
      <c r="C24" s="1" t="s">
        <v>116</v>
      </c>
      <c r="D24" s="1" t="s">
        <v>409</v>
      </c>
      <c r="E24" s="1" t="str">
        <f t="shared" si="0"/>
        <v>Mobile</v>
      </c>
      <c r="F24" s="10">
        <v>20</v>
      </c>
      <c r="G24" s="13">
        <v>150000</v>
      </c>
      <c r="H24" s="1" t="s">
        <v>90</v>
      </c>
      <c r="I24" s="1" t="s">
        <v>117</v>
      </c>
    </row>
    <row r="25" spans="1:9" x14ac:dyDescent="0.35">
      <c r="A25" s="7" t="s">
        <v>118</v>
      </c>
      <c r="B25" s="1" t="s">
        <v>119</v>
      </c>
      <c r="C25" s="1" t="s">
        <v>120</v>
      </c>
      <c r="D25" s="1" t="s">
        <v>121</v>
      </c>
      <c r="E25" s="1" t="str">
        <f t="shared" si="0"/>
        <v>Mobile</v>
      </c>
      <c r="F25" s="10">
        <v>8</v>
      </c>
      <c r="G25" s="13">
        <v>150000</v>
      </c>
      <c r="H25" s="1" t="s">
        <v>122</v>
      </c>
      <c r="I25" s="1" t="s">
        <v>123</v>
      </c>
    </row>
    <row r="26" spans="1:9" x14ac:dyDescent="0.35">
      <c r="A26" s="7" t="s">
        <v>124</v>
      </c>
      <c r="B26" s="1" t="s">
        <v>125</v>
      </c>
      <c r="C26" s="1" t="s">
        <v>106</v>
      </c>
      <c r="D26" s="1" t="s">
        <v>126</v>
      </c>
      <c r="E26" s="1" t="str">
        <f t="shared" si="0"/>
        <v>Computers</v>
      </c>
      <c r="F26" s="10">
        <v>19</v>
      </c>
      <c r="G26" s="13">
        <v>250000</v>
      </c>
      <c r="H26" s="1" t="s">
        <v>127</v>
      </c>
      <c r="I26" s="1" t="s">
        <v>128</v>
      </c>
    </row>
    <row r="27" spans="1:9" x14ac:dyDescent="0.35">
      <c r="A27" s="7" t="s">
        <v>129</v>
      </c>
      <c r="B27" s="1" t="s">
        <v>130</v>
      </c>
      <c r="C27" s="1" t="s">
        <v>131</v>
      </c>
      <c r="D27" s="1" t="s">
        <v>132</v>
      </c>
      <c r="E27" s="1" t="str">
        <f t="shared" si="0"/>
        <v>Photography</v>
      </c>
      <c r="F27" s="10">
        <v>12</v>
      </c>
      <c r="G27" s="13">
        <v>175000</v>
      </c>
      <c r="H27" s="1" t="s">
        <v>133</v>
      </c>
      <c r="I27" s="1" t="s">
        <v>65</v>
      </c>
    </row>
    <row r="28" spans="1:9" x14ac:dyDescent="0.35">
      <c r="A28" s="7" t="s">
        <v>134</v>
      </c>
      <c r="B28" s="1" t="s">
        <v>62</v>
      </c>
      <c r="C28" s="1" t="s">
        <v>135</v>
      </c>
      <c r="D28" s="1" t="s">
        <v>411</v>
      </c>
      <c r="E28" s="1" t="str">
        <f t="shared" si="0"/>
        <v>Audio</v>
      </c>
      <c r="F28" s="10">
        <v>11</v>
      </c>
      <c r="G28" s="13">
        <v>85000</v>
      </c>
      <c r="H28" s="1" t="s">
        <v>136</v>
      </c>
      <c r="I28" s="1" t="s">
        <v>137</v>
      </c>
    </row>
    <row r="29" spans="1:9" x14ac:dyDescent="0.35">
      <c r="A29" s="7" t="s">
        <v>138</v>
      </c>
      <c r="B29" s="1" t="s">
        <v>119</v>
      </c>
      <c r="C29" s="1" t="s">
        <v>139</v>
      </c>
      <c r="D29" s="1" t="s">
        <v>140</v>
      </c>
      <c r="E29" s="1" t="str">
        <f t="shared" si="0"/>
        <v>Peripherals</v>
      </c>
      <c r="F29" s="10">
        <v>17</v>
      </c>
      <c r="G29" s="13">
        <v>65000</v>
      </c>
      <c r="H29" s="1" t="s">
        <v>104</v>
      </c>
      <c r="I29" s="1" t="s">
        <v>472</v>
      </c>
    </row>
    <row r="30" spans="1:9" x14ac:dyDescent="0.35">
      <c r="A30" s="7" t="s">
        <v>141</v>
      </c>
      <c r="B30" s="1" t="s">
        <v>142</v>
      </c>
      <c r="C30" s="1" t="s">
        <v>143</v>
      </c>
      <c r="D30" s="1" t="s">
        <v>144</v>
      </c>
      <c r="E30" s="1" t="str">
        <f t="shared" si="0"/>
        <v>Elecrtonics</v>
      </c>
      <c r="F30" s="10">
        <v>15</v>
      </c>
      <c r="G30" s="13">
        <v>350000</v>
      </c>
      <c r="H30" s="1" t="s">
        <v>401</v>
      </c>
      <c r="I30" s="1" t="s">
        <v>474</v>
      </c>
    </row>
    <row r="31" spans="1:9" x14ac:dyDescent="0.35">
      <c r="A31" s="7" t="s">
        <v>145</v>
      </c>
      <c r="B31" s="1" t="s">
        <v>41</v>
      </c>
      <c r="C31" s="1" t="s">
        <v>14</v>
      </c>
      <c r="D31" s="1" t="s">
        <v>146</v>
      </c>
      <c r="E31" s="1" t="str">
        <f t="shared" si="0"/>
        <v>Electronics</v>
      </c>
      <c r="F31" s="10">
        <v>8</v>
      </c>
      <c r="G31" s="13">
        <v>350000</v>
      </c>
      <c r="H31" s="1" t="s">
        <v>147</v>
      </c>
      <c r="I31" s="1" t="s">
        <v>148</v>
      </c>
    </row>
    <row r="32" spans="1:9" x14ac:dyDescent="0.35">
      <c r="A32" s="7" t="s">
        <v>149</v>
      </c>
      <c r="B32" s="1" t="s">
        <v>150</v>
      </c>
      <c r="C32" s="1" t="s">
        <v>14</v>
      </c>
      <c r="D32" s="1" t="s">
        <v>151</v>
      </c>
      <c r="E32" s="1" t="str">
        <f t="shared" si="0"/>
        <v>Electronics</v>
      </c>
      <c r="F32" s="10">
        <v>14</v>
      </c>
      <c r="G32" s="13">
        <v>350000</v>
      </c>
      <c r="H32" s="1" t="s">
        <v>73</v>
      </c>
      <c r="I32" s="1" t="s">
        <v>417</v>
      </c>
    </row>
    <row r="33" spans="1:9" x14ac:dyDescent="0.35">
      <c r="A33" s="7" t="s">
        <v>152</v>
      </c>
      <c r="B33" s="1" t="s">
        <v>87</v>
      </c>
      <c r="C33" s="1" t="s">
        <v>153</v>
      </c>
      <c r="D33" s="1" t="s">
        <v>31</v>
      </c>
      <c r="E33" s="1" t="str">
        <f t="shared" si="0"/>
        <v>Mobile</v>
      </c>
      <c r="F33" s="10">
        <v>12</v>
      </c>
      <c r="G33" s="13">
        <v>150000</v>
      </c>
      <c r="H33" s="1" t="s">
        <v>20</v>
      </c>
      <c r="I33" s="1" t="s">
        <v>154</v>
      </c>
    </row>
    <row r="34" spans="1:9" x14ac:dyDescent="0.35">
      <c r="A34" s="7" t="s">
        <v>155</v>
      </c>
      <c r="B34" s="1" t="s">
        <v>156</v>
      </c>
      <c r="C34" s="1" t="s">
        <v>103</v>
      </c>
      <c r="D34" s="1" t="s">
        <v>157</v>
      </c>
      <c r="E34" s="1" t="str">
        <f t="shared" ref="E34:E65" si="1">PROPER(TRIM(D34))</f>
        <v>Photography</v>
      </c>
      <c r="F34" s="10">
        <v>8</v>
      </c>
      <c r="G34" s="13">
        <v>175000</v>
      </c>
      <c r="H34" s="1" t="s">
        <v>158</v>
      </c>
      <c r="I34" s="1" t="s">
        <v>159</v>
      </c>
    </row>
    <row r="35" spans="1:9" x14ac:dyDescent="0.35">
      <c r="A35" s="7">
        <v>45735</v>
      </c>
      <c r="B35" s="1" t="s">
        <v>8</v>
      </c>
      <c r="C35" s="1" t="s">
        <v>116</v>
      </c>
      <c r="D35" s="1" t="s">
        <v>160</v>
      </c>
      <c r="E35" s="1" t="str">
        <f t="shared" si="1"/>
        <v>Mobile</v>
      </c>
      <c r="F35" s="10">
        <v>6</v>
      </c>
      <c r="G35" s="13">
        <v>150000</v>
      </c>
      <c r="H35" s="1" t="s">
        <v>161</v>
      </c>
      <c r="I35" s="1" t="s">
        <v>162</v>
      </c>
    </row>
    <row r="36" spans="1:9" x14ac:dyDescent="0.35">
      <c r="A36" s="7" t="s">
        <v>163</v>
      </c>
      <c r="B36" s="1" t="s">
        <v>51</v>
      </c>
      <c r="C36" s="1" t="s">
        <v>164</v>
      </c>
      <c r="D36" s="1" t="s">
        <v>107</v>
      </c>
      <c r="E36" s="1" t="str">
        <f t="shared" si="1"/>
        <v>Computers</v>
      </c>
      <c r="F36" s="10">
        <v>20</v>
      </c>
      <c r="G36" s="13">
        <v>2500000</v>
      </c>
      <c r="H36" s="1" t="s">
        <v>158</v>
      </c>
      <c r="I36" s="1" t="s">
        <v>165</v>
      </c>
    </row>
    <row r="37" spans="1:9" x14ac:dyDescent="0.35">
      <c r="A37" s="7" t="s">
        <v>166</v>
      </c>
      <c r="B37" s="1" t="s">
        <v>23</v>
      </c>
      <c r="C37" s="1" t="s">
        <v>167</v>
      </c>
      <c r="D37" s="1" t="s">
        <v>168</v>
      </c>
      <c r="E37" s="1" t="str">
        <f t="shared" si="1"/>
        <v>Peripherals</v>
      </c>
      <c r="F37" s="10">
        <v>12</v>
      </c>
      <c r="G37" s="13">
        <v>65000</v>
      </c>
      <c r="H37" s="1" t="s">
        <v>44</v>
      </c>
      <c r="I37" s="1" t="s">
        <v>169</v>
      </c>
    </row>
    <row r="38" spans="1:9" x14ac:dyDescent="0.35">
      <c r="A38" s="7" t="s">
        <v>170</v>
      </c>
      <c r="B38" s="1" t="s">
        <v>142</v>
      </c>
      <c r="C38" s="1" t="s">
        <v>171</v>
      </c>
      <c r="D38" s="1" t="s">
        <v>172</v>
      </c>
      <c r="E38" s="1" t="str">
        <f t="shared" si="1"/>
        <v>Peripherals</v>
      </c>
      <c r="F38" s="10">
        <v>4</v>
      </c>
      <c r="G38" s="13">
        <v>73740</v>
      </c>
      <c r="H38" s="1" t="s">
        <v>173</v>
      </c>
      <c r="I38" s="1" t="s">
        <v>174</v>
      </c>
    </row>
    <row r="39" spans="1:9" x14ac:dyDescent="0.35">
      <c r="A39" s="7" t="s">
        <v>175</v>
      </c>
      <c r="B39" s="1" t="s">
        <v>176</v>
      </c>
      <c r="C39" s="1" t="s">
        <v>177</v>
      </c>
      <c r="D39" s="1" t="s">
        <v>178</v>
      </c>
      <c r="E39" s="1" t="str">
        <f t="shared" si="1"/>
        <v>Photography</v>
      </c>
      <c r="F39" s="10">
        <v>18</v>
      </c>
      <c r="G39" s="13">
        <v>175000</v>
      </c>
      <c r="H39" s="1" t="s">
        <v>179</v>
      </c>
      <c r="I39" s="1" t="s">
        <v>79</v>
      </c>
    </row>
    <row r="40" spans="1:9" x14ac:dyDescent="0.35">
      <c r="A40" s="7" t="s">
        <v>180</v>
      </c>
      <c r="B40" s="1" t="s">
        <v>181</v>
      </c>
      <c r="C40" s="1" t="s">
        <v>182</v>
      </c>
      <c r="D40" s="1" t="s">
        <v>183</v>
      </c>
      <c r="E40" s="1" t="str">
        <f t="shared" si="1"/>
        <v>Mobile.</v>
      </c>
      <c r="F40" s="10">
        <v>10</v>
      </c>
      <c r="G40" s="13">
        <v>180000</v>
      </c>
      <c r="H40" s="1" t="s">
        <v>184</v>
      </c>
      <c r="I40" s="1" t="s">
        <v>39</v>
      </c>
    </row>
    <row r="41" spans="1:9" x14ac:dyDescent="0.35">
      <c r="A41" s="7" t="s">
        <v>185</v>
      </c>
      <c r="B41" s="1" t="s">
        <v>115</v>
      </c>
      <c r="C41" s="1" t="s">
        <v>186</v>
      </c>
      <c r="D41" s="1" t="s">
        <v>140</v>
      </c>
      <c r="E41" s="1" t="str">
        <f t="shared" si="1"/>
        <v>Peripherals</v>
      </c>
      <c r="F41" s="10">
        <v>10</v>
      </c>
      <c r="G41" s="13">
        <v>65000</v>
      </c>
      <c r="H41" s="1" t="s">
        <v>400</v>
      </c>
      <c r="I41" s="1" t="s">
        <v>187</v>
      </c>
    </row>
    <row r="42" spans="1:9" x14ac:dyDescent="0.35">
      <c r="A42" s="7" t="s">
        <v>61</v>
      </c>
      <c r="B42" s="1" t="s">
        <v>188</v>
      </c>
      <c r="C42" s="1" t="s">
        <v>153</v>
      </c>
      <c r="D42" s="1" t="s">
        <v>19</v>
      </c>
      <c r="E42" s="1" t="str">
        <f t="shared" si="1"/>
        <v>Mobile</v>
      </c>
      <c r="F42" s="10">
        <v>3</v>
      </c>
      <c r="G42" s="13">
        <v>150000</v>
      </c>
      <c r="H42" s="1" t="s">
        <v>189</v>
      </c>
      <c r="I42" s="1" t="s">
        <v>190</v>
      </c>
    </row>
    <row r="43" spans="1:9" ht="11.25" customHeight="1" x14ac:dyDescent="0.35">
      <c r="A43" s="7" t="s">
        <v>191</v>
      </c>
      <c r="B43" s="1" t="s">
        <v>192</v>
      </c>
      <c r="C43" s="1" t="s">
        <v>193</v>
      </c>
      <c r="D43" s="1" t="s">
        <v>19</v>
      </c>
      <c r="E43" s="1" t="str">
        <f t="shared" si="1"/>
        <v>Mobile</v>
      </c>
      <c r="F43" s="10">
        <v>8</v>
      </c>
      <c r="G43" s="13">
        <v>180000</v>
      </c>
      <c r="H43" s="1" t="s">
        <v>69</v>
      </c>
      <c r="I43" s="1" t="s">
        <v>65</v>
      </c>
    </row>
    <row r="44" spans="1:9" x14ac:dyDescent="0.35">
      <c r="A44" s="7" t="s">
        <v>194</v>
      </c>
      <c r="B44" s="1" t="s">
        <v>195</v>
      </c>
      <c r="C44" s="1" t="s">
        <v>196</v>
      </c>
      <c r="D44" s="1" t="s">
        <v>126</v>
      </c>
      <c r="E44" s="1" t="str">
        <f t="shared" si="1"/>
        <v>Computers</v>
      </c>
      <c r="F44" s="10">
        <v>3</v>
      </c>
      <c r="G44" s="13">
        <v>250000</v>
      </c>
      <c r="H44" s="1" t="s">
        <v>197</v>
      </c>
      <c r="I44" s="1" t="s">
        <v>198</v>
      </c>
    </row>
    <row r="45" spans="1:9" x14ac:dyDescent="0.35">
      <c r="A45" s="7" t="s">
        <v>199</v>
      </c>
      <c r="B45" s="1" t="s">
        <v>200</v>
      </c>
      <c r="C45" s="1" t="s">
        <v>201</v>
      </c>
      <c r="D45" s="1" t="s">
        <v>202</v>
      </c>
      <c r="E45" s="1" t="str">
        <f t="shared" si="1"/>
        <v>Audio</v>
      </c>
      <c r="F45" s="10">
        <v>18</v>
      </c>
      <c r="G45" s="13">
        <v>85000</v>
      </c>
      <c r="H45" s="1" t="s">
        <v>203</v>
      </c>
      <c r="I45" s="1" t="s">
        <v>159</v>
      </c>
    </row>
    <row r="46" spans="1:9" x14ac:dyDescent="0.35">
      <c r="A46" s="7" t="s">
        <v>204</v>
      </c>
      <c r="B46" s="1" t="s">
        <v>51</v>
      </c>
      <c r="C46" s="1" t="s">
        <v>52</v>
      </c>
      <c r="D46" s="1" t="s">
        <v>31</v>
      </c>
      <c r="E46" s="1" t="str">
        <f t="shared" si="1"/>
        <v>Mobile</v>
      </c>
      <c r="F46" s="10">
        <v>9</v>
      </c>
      <c r="G46" s="13">
        <v>150000</v>
      </c>
      <c r="H46" s="1" t="s">
        <v>205</v>
      </c>
      <c r="I46" s="1" t="s">
        <v>206</v>
      </c>
    </row>
    <row r="47" spans="1:9" x14ac:dyDescent="0.35">
      <c r="A47" s="7" t="s">
        <v>207</v>
      </c>
      <c r="B47" s="1" t="s">
        <v>208</v>
      </c>
      <c r="C47" s="1" t="s">
        <v>209</v>
      </c>
      <c r="D47" s="1" t="s">
        <v>412</v>
      </c>
      <c r="E47" s="1" t="str">
        <f t="shared" si="1"/>
        <v>Mobile</v>
      </c>
      <c r="F47" s="10">
        <v>18</v>
      </c>
      <c r="G47" s="13">
        <v>150000</v>
      </c>
      <c r="H47" s="1" t="s">
        <v>210</v>
      </c>
      <c r="I47" s="1" t="s">
        <v>473</v>
      </c>
    </row>
    <row r="48" spans="1:9" x14ac:dyDescent="0.35">
      <c r="A48" s="7" t="s">
        <v>211</v>
      </c>
      <c r="B48" s="1" t="s">
        <v>212</v>
      </c>
      <c r="C48" s="1" t="s">
        <v>116</v>
      </c>
      <c r="D48" s="1" t="s">
        <v>58</v>
      </c>
      <c r="E48" s="1" t="str">
        <f t="shared" si="1"/>
        <v>Mobile</v>
      </c>
      <c r="F48" s="10">
        <v>11</v>
      </c>
      <c r="G48" s="13">
        <v>150000</v>
      </c>
      <c r="H48" s="1" t="s">
        <v>213</v>
      </c>
      <c r="I48" s="1" t="s">
        <v>214</v>
      </c>
    </row>
    <row r="49" spans="1:9" x14ac:dyDescent="0.35">
      <c r="A49" s="7" t="s">
        <v>215</v>
      </c>
      <c r="B49" s="1" t="s">
        <v>216</v>
      </c>
      <c r="C49" s="1" t="s">
        <v>217</v>
      </c>
      <c r="D49" s="1" t="s">
        <v>146</v>
      </c>
      <c r="E49" s="1" t="str">
        <f t="shared" si="1"/>
        <v>Electronics</v>
      </c>
      <c r="F49" s="10">
        <v>4</v>
      </c>
      <c r="G49" s="13">
        <v>350000</v>
      </c>
      <c r="H49" s="1" t="s">
        <v>136</v>
      </c>
      <c r="I49" s="1" t="s">
        <v>218</v>
      </c>
    </row>
    <row r="50" spans="1:9" x14ac:dyDescent="0.35">
      <c r="A50" s="7" t="s">
        <v>219</v>
      </c>
      <c r="B50" s="1" t="s">
        <v>76</v>
      </c>
      <c r="C50" s="1" t="s">
        <v>93</v>
      </c>
      <c r="D50" s="1" t="s">
        <v>220</v>
      </c>
      <c r="E50" s="1" t="str">
        <f t="shared" si="1"/>
        <v>Mobile</v>
      </c>
      <c r="F50" s="10">
        <v>19</v>
      </c>
      <c r="G50" s="13">
        <v>150000</v>
      </c>
      <c r="H50" s="1" t="s">
        <v>399</v>
      </c>
      <c r="I50" s="1" t="s">
        <v>221</v>
      </c>
    </row>
    <row r="51" spans="1:9" x14ac:dyDescent="0.35">
      <c r="A51" s="7" t="s">
        <v>222</v>
      </c>
      <c r="B51" s="1" t="s">
        <v>46</v>
      </c>
      <c r="C51" s="1" t="s">
        <v>223</v>
      </c>
      <c r="D51" s="1" t="s">
        <v>224</v>
      </c>
      <c r="E51" s="1" t="str">
        <f t="shared" si="1"/>
        <v>Audio</v>
      </c>
      <c r="F51" s="10">
        <v>7</v>
      </c>
      <c r="G51" s="13">
        <v>85000</v>
      </c>
      <c r="H51" s="1" t="s">
        <v>225</v>
      </c>
      <c r="I51" s="1" t="s">
        <v>226</v>
      </c>
    </row>
    <row r="52" spans="1:9" x14ac:dyDescent="0.35">
      <c r="A52" s="7" t="s">
        <v>227</v>
      </c>
      <c r="B52" s="1" t="s">
        <v>228</v>
      </c>
      <c r="C52" s="1" t="s">
        <v>229</v>
      </c>
      <c r="D52" s="1" t="s">
        <v>230</v>
      </c>
      <c r="E52" s="1" t="str">
        <f t="shared" si="1"/>
        <v>Peripherals</v>
      </c>
      <c r="F52" s="10">
        <v>13</v>
      </c>
      <c r="G52" s="13">
        <v>57912</v>
      </c>
      <c r="H52" s="1" t="s">
        <v>231</v>
      </c>
      <c r="I52" s="1" t="s">
        <v>232</v>
      </c>
    </row>
    <row r="53" spans="1:9" x14ac:dyDescent="0.35">
      <c r="A53" s="7" t="s">
        <v>233</v>
      </c>
      <c r="B53" s="1" t="s">
        <v>115</v>
      </c>
      <c r="C53" s="1" t="s">
        <v>139</v>
      </c>
      <c r="D53" s="1" t="s">
        <v>234</v>
      </c>
      <c r="E53" s="1" t="str">
        <f t="shared" si="1"/>
        <v>Peripherals</v>
      </c>
      <c r="F53" s="10">
        <v>18</v>
      </c>
      <c r="G53" s="13">
        <v>650000</v>
      </c>
      <c r="H53" s="1" t="s">
        <v>235</v>
      </c>
      <c r="I53" s="1" t="s">
        <v>236</v>
      </c>
    </row>
    <row r="54" spans="1:9" x14ac:dyDescent="0.35">
      <c r="A54" s="7" t="s">
        <v>402</v>
      </c>
      <c r="B54" s="1" t="s">
        <v>237</v>
      </c>
      <c r="C54" s="1" t="s">
        <v>82</v>
      </c>
      <c r="D54" s="1" t="s">
        <v>168</v>
      </c>
      <c r="E54" s="1" t="str">
        <f t="shared" si="1"/>
        <v>Peripherals</v>
      </c>
      <c r="F54" s="10">
        <v>5</v>
      </c>
      <c r="G54" s="13">
        <v>65000</v>
      </c>
      <c r="H54" s="1" t="s">
        <v>413</v>
      </c>
      <c r="I54" s="1" t="s">
        <v>238</v>
      </c>
    </row>
    <row r="55" spans="1:9" x14ac:dyDescent="0.35">
      <c r="A55" s="7" t="s">
        <v>239</v>
      </c>
      <c r="B55" s="1" t="s">
        <v>8</v>
      </c>
      <c r="C55" s="1" t="s">
        <v>217</v>
      </c>
      <c r="D55" s="1" t="s">
        <v>37</v>
      </c>
      <c r="E55" s="1" t="str">
        <f t="shared" si="1"/>
        <v>Electronics</v>
      </c>
      <c r="F55" s="10">
        <v>13</v>
      </c>
      <c r="G55" s="13">
        <v>350000</v>
      </c>
      <c r="H55" s="1" t="s">
        <v>104</v>
      </c>
      <c r="I55" s="1" t="s">
        <v>240</v>
      </c>
    </row>
    <row r="56" spans="1:9" x14ac:dyDescent="0.35">
      <c r="A56" s="7">
        <v>45661</v>
      </c>
      <c r="B56" s="1" t="s">
        <v>241</v>
      </c>
      <c r="C56" s="1" t="s">
        <v>242</v>
      </c>
      <c r="D56" s="1" t="s">
        <v>146</v>
      </c>
      <c r="E56" s="1" t="str">
        <f t="shared" si="1"/>
        <v>Electronics</v>
      </c>
      <c r="F56" s="10">
        <v>19</v>
      </c>
      <c r="G56" s="13">
        <v>350000</v>
      </c>
      <c r="H56" s="1" t="s">
        <v>25</v>
      </c>
      <c r="I56" s="1" t="s">
        <v>418</v>
      </c>
    </row>
    <row r="57" spans="1:9" x14ac:dyDescent="0.35">
      <c r="A57" s="7" t="s">
        <v>243</v>
      </c>
      <c r="B57" s="1" t="s">
        <v>244</v>
      </c>
      <c r="C57" s="1" t="s">
        <v>245</v>
      </c>
      <c r="D57" s="1" t="s">
        <v>29</v>
      </c>
      <c r="E57" s="1" t="str">
        <f t="shared" si="1"/>
        <v>Mobile</v>
      </c>
      <c r="F57" s="10">
        <v>9</v>
      </c>
      <c r="G57" s="13">
        <v>180000</v>
      </c>
      <c r="H57" s="1" t="s">
        <v>246</v>
      </c>
      <c r="I57" s="1" t="s">
        <v>341</v>
      </c>
    </row>
    <row r="58" spans="1:9" x14ac:dyDescent="0.35">
      <c r="A58" s="7" t="s">
        <v>247</v>
      </c>
      <c r="B58" s="1" t="s">
        <v>81</v>
      </c>
      <c r="C58" s="1" t="s">
        <v>248</v>
      </c>
      <c r="D58" s="1" t="s">
        <v>249</v>
      </c>
      <c r="E58" s="1" t="str">
        <f t="shared" si="1"/>
        <v>Mobile</v>
      </c>
      <c r="F58" s="10">
        <v>10</v>
      </c>
      <c r="G58" s="13">
        <v>150000</v>
      </c>
      <c r="H58" s="1" t="s">
        <v>73</v>
      </c>
      <c r="I58" s="1" t="s">
        <v>250</v>
      </c>
    </row>
    <row r="59" spans="1:9" x14ac:dyDescent="0.35">
      <c r="A59" s="7" t="s">
        <v>251</v>
      </c>
      <c r="B59" s="1" t="s">
        <v>87</v>
      </c>
      <c r="C59" s="1" t="s">
        <v>223</v>
      </c>
      <c r="D59" s="1" t="s">
        <v>252</v>
      </c>
      <c r="E59" s="1" t="str">
        <f t="shared" si="1"/>
        <v>Audio</v>
      </c>
      <c r="F59" s="10">
        <v>10</v>
      </c>
      <c r="G59" s="13">
        <v>85000</v>
      </c>
      <c r="H59" s="1" t="s">
        <v>246</v>
      </c>
      <c r="I59" s="1" t="s">
        <v>253</v>
      </c>
    </row>
    <row r="60" spans="1:9" x14ac:dyDescent="0.35">
      <c r="A60" s="7">
        <v>45693</v>
      </c>
      <c r="B60" s="1" t="s">
        <v>8</v>
      </c>
      <c r="C60" s="1" t="s">
        <v>254</v>
      </c>
      <c r="D60" s="1" t="s">
        <v>255</v>
      </c>
      <c r="E60" s="1" t="str">
        <f t="shared" si="1"/>
        <v>Computers</v>
      </c>
      <c r="F60" s="10">
        <v>5</v>
      </c>
      <c r="G60" s="13">
        <v>25000</v>
      </c>
      <c r="H60" s="1" t="s">
        <v>256</v>
      </c>
      <c r="I60" s="1" t="s">
        <v>257</v>
      </c>
    </row>
    <row r="61" spans="1:9" x14ac:dyDescent="0.35">
      <c r="A61" s="7" t="s">
        <v>96</v>
      </c>
      <c r="B61" s="1" t="s">
        <v>258</v>
      </c>
      <c r="C61" s="1" t="s">
        <v>153</v>
      </c>
      <c r="D61" s="1" t="s">
        <v>249</v>
      </c>
      <c r="E61" s="1" t="str">
        <f t="shared" si="1"/>
        <v>Mobile</v>
      </c>
      <c r="F61" s="10">
        <v>1</v>
      </c>
      <c r="G61" s="13">
        <v>150000</v>
      </c>
      <c r="H61" s="1" t="s">
        <v>108</v>
      </c>
      <c r="I61" s="1" t="s">
        <v>17</v>
      </c>
    </row>
    <row r="62" spans="1:9" x14ac:dyDescent="0.35">
      <c r="A62" s="7" t="s">
        <v>259</v>
      </c>
      <c r="B62" s="1" t="s">
        <v>260</v>
      </c>
      <c r="C62" s="1" t="s">
        <v>261</v>
      </c>
      <c r="D62" s="1" t="s">
        <v>262</v>
      </c>
      <c r="E62" s="1" t="str">
        <f t="shared" si="1"/>
        <v>Mobile</v>
      </c>
      <c r="F62" s="10">
        <v>20</v>
      </c>
      <c r="G62" s="13">
        <v>150000</v>
      </c>
      <c r="H62" s="1" t="s">
        <v>263</v>
      </c>
      <c r="I62" s="1" t="s">
        <v>264</v>
      </c>
    </row>
    <row r="63" spans="1:9" x14ac:dyDescent="0.35">
      <c r="A63" s="7" t="s">
        <v>163</v>
      </c>
      <c r="B63" s="1" t="s">
        <v>8</v>
      </c>
      <c r="C63" s="1" t="s">
        <v>265</v>
      </c>
      <c r="D63" s="1" t="s">
        <v>266</v>
      </c>
      <c r="E63" s="1" t="str">
        <f t="shared" si="1"/>
        <v>Eelctronics</v>
      </c>
      <c r="F63" s="10">
        <v>11</v>
      </c>
      <c r="G63" s="13">
        <v>350000</v>
      </c>
      <c r="H63" s="1" t="s">
        <v>267</v>
      </c>
      <c r="I63" s="1" t="s">
        <v>268</v>
      </c>
    </row>
    <row r="64" spans="1:9" x14ac:dyDescent="0.35">
      <c r="A64" s="7" t="s">
        <v>269</v>
      </c>
      <c r="B64" s="1" t="s">
        <v>13</v>
      </c>
      <c r="C64" s="1" t="s">
        <v>270</v>
      </c>
      <c r="D64" s="1" t="s">
        <v>271</v>
      </c>
      <c r="E64" s="1" t="str">
        <f t="shared" si="1"/>
        <v>Computers</v>
      </c>
      <c r="F64" s="10">
        <v>14</v>
      </c>
      <c r="G64" s="13">
        <v>250000</v>
      </c>
      <c r="H64" s="1" t="s">
        <v>272</v>
      </c>
      <c r="I64" s="1" t="s">
        <v>273</v>
      </c>
    </row>
    <row r="65" spans="1:9" x14ac:dyDescent="0.35">
      <c r="A65" s="7" t="s">
        <v>274</v>
      </c>
      <c r="B65" s="1" t="s">
        <v>27</v>
      </c>
      <c r="C65" s="1" t="s">
        <v>93</v>
      </c>
      <c r="D65" s="1" t="s">
        <v>19</v>
      </c>
      <c r="E65" s="1" t="str">
        <f t="shared" si="1"/>
        <v>Mobile</v>
      </c>
      <c r="F65" s="10">
        <v>3</v>
      </c>
      <c r="G65" s="13">
        <v>150000</v>
      </c>
      <c r="H65" s="1" t="s">
        <v>354</v>
      </c>
      <c r="I65" s="1" t="s">
        <v>12</v>
      </c>
    </row>
    <row r="66" spans="1:9" x14ac:dyDescent="0.35">
      <c r="A66" s="7" t="s">
        <v>275</v>
      </c>
      <c r="B66" s="1" t="s">
        <v>258</v>
      </c>
      <c r="C66" s="1" t="s">
        <v>276</v>
      </c>
      <c r="D66" s="1" t="s">
        <v>202</v>
      </c>
      <c r="E66" s="1" t="str">
        <f t="shared" ref="E66:E97" si="2">PROPER(TRIM(D66))</f>
        <v>Audio</v>
      </c>
      <c r="F66" s="10">
        <v>6</v>
      </c>
      <c r="G66" s="13">
        <v>85000</v>
      </c>
      <c r="H66" s="1" t="s">
        <v>277</v>
      </c>
      <c r="I66" s="1" t="s">
        <v>278</v>
      </c>
    </row>
    <row r="67" spans="1:9" x14ac:dyDescent="0.35">
      <c r="A67" s="7" t="s">
        <v>279</v>
      </c>
      <c r="B67" s="1" t="s">
        <v>51</v>
      </c>
      <c r="C67" s="1" t="s">
        <v>265</v>
      </c>
      <c r="D67" s="1" t="s">
        <v>15</v>
      </c>
      <c r="E67" s="1" t="str">
        <f t="shared" si="2"/>
        <v>Electronics</v>
      </c>
      <c r="F67" s="10">
        <v>15</v>
      </c>
      <c r="G67" s="13">
        <v>350000</v>
      </c>
      <c r="H67" s="1" t="s">
        <v>280</v>
      </c>
      <c r="I67" s="1" t="s">
        <v>464</v>
      </c>
    </row>
    <row r="68" spans="1:9" x14ac:dyDescent="0.35">
      <c r="A68" s="7" t="s">
        <v>281</v>
      </c>
      <c r="B68" s="1" t="s">
        <v>102</v>
      </c>
      <c r="C68" s="1" t="s">
        <v>93</v>
      </c>
      <c r="D68" s="1" t="s">
        <v>282</v>
      </c>
      <c r="E68" s="1" t="str">
        <f t="shared" si="2"/>
        <v>Mobile</v>
      </c>
      <c r="F68" s="10">
        <v>16</v>
      </c>
      <c r="G68" s="13">
        <v>150000</v>
      </c>
      <c r="H68" s="1" t="s">
        <v>283</v>
      </c>
      <c r="I68" s="1" t="s">
        <v>273</v>
      </c>
    </row>
    <row r="69" spans="1:9" x14ac:dyDescent="0.35">
      <c r="A69" s="7" t="s">
        <v>284</v>
      </c>
      <c r="B69" s="1" t="s">
        <v>176</v>
      </c>
      <c r="C69" s="1" t="s">
        <v>177</v>
      </c>
      <c r="D69" s="1" t="s">
        <v>98</v>
      </c>
      <c r="E69" s="1" t="str">
        <f t="shared" si="2"/>
        <v>Photography</v>
      </c>
      <c r="F69" s="10">
        <v>8</v>
      </c>
      <c r="G69" s="13">
        <v>175000</v>
      </c>
      <c r="H69" s="1" t="s">
        <v>285</v>
      </c>
      <c r="I69" s="1" t="s">
        <v>79</v>
      </c>
    </row>
    <row r="70" spans="1:9" x14ac:dyDescent="0.35">
      <c r="A70" s="7">
        <v>45761</v>
      </c>
      <c r="B70" s="1" t="s">
        <v>216</v>
      </c>
      <c r="C70" s="1" t="s">
        <v>286</v>
      </c>
      <c r="D70" s="1" t="s">
        <v>287</v>
      </c>
      <c r="E70" s="1" t="str">
        <f t="shared" si="2"/>
        <v>Audio</v>
      </c>
      <c r="F70" s="10">
        <v>2</v>
      </c>
      <c r="G70" s="13">
        <v>85000</v>
      </c>
      <c r="H70" s="1" t="s">
        <v>288</v>
      </c>
      <c r="I70" s="1" t="s">
        <v>289</v>
      </c>
    </row>
    <row r="71" spans="1:9" x14ac:dyDescent="0.35">
      <c r="A71" s="7" t="s">
        <v>290</v>
      </c>
      <c r="B71" s="1" t="s">
        <v>119</v>
      </c>
      <c r="C71" s="1" t="s">
        <v>291</v>
      </c>
      <c r="D71" s="1" t="s">
        <v>292</v>
      </c>
      <c r="E71" s="1" t="str">
        <f t="shared" si="2"/>
        <v>Computers</v>
      </c>
      <c r="F71" s="10">
        <v>13</v>
      </c>
      <c r="G71" s="13">
        <v>250000</v>
      </c>
      <c r="H71" s="1" t="s">
        <v>414</v>
      </c>
      <c r="I71" s="1" t="s">
        <v>293</v>
      </c>
    </row>
    <row r="72" spans="1:9" x14ac:dyDescent="0.35">
      <c r="A72" s="7" t="s">
        <v>294</v>
      </c>
      <c r="B72" s="1" t="s">
        <v>150</v>
      </c>
      <c r="C72" s="1" t="s">
        <v>139</v>
      </c>
      <c r="D72" s="1" t="s">
        <v>43</v>
      </c>
      <c r="E72" s="1" t="str">
        <f t="shared" si="2"/>
        <v>Peripherals</v>
      </c>
      <c r="F72" s="10">
        <v>11</v>
      </c>
      <c r="G72" s="13">
        <v>65000</v>
      </c>
      <c r="H72" s="1" t="s">
        <v>295</v>
      </c>
      <c r="I72" s="1" t="s">
        <v>296</v>
      </c>
    </row>
    <row r="73" spans="1:9" x14ac:dyDescent="0.35">
      <c r="A73" s="7" t="s">
        <v>149</v>
      </c>
      <c r="B73" s="1" t="s">
        <v>406</v>
      </c>
      <c r="C73" s="1" t="s">
        <v>297</v>
      </c>
      <c r="D73" s="1" t="s">
        <v>298</v>
      </c>
      <c r="E73" s="1" t="str">
        <f t="shared" si="2"/>
        <v xml:space="preserve">Electronics	</v>
      </c>
      <c r="F73" s="10">
        <v>17</v>
      </c>
      <c r="G73" s="13">
        <v>3500</v>
      </c>
      <c r="H73" s="1" t="s">
        <v>299</v>
      </c>
      <c r="I73" s="1" t="s">
        <v>300</v>
      </c>
    </row>
    <row r="74" spans="1:9" x14ac:dyDescent="0.35">
      <c r="A74" s="7" t="s">
        <v>301</v>
      </c>
      <c r="B74" s="1" t="s">
        <v>51</v>
      </c>
      <c r="C74" s="1" t="s">
        <v>302</v>
      </c>
      <c r="D74" s="1" t="s">
        <v>303</v>
      </c>
      <c r="E74" s="1" t="str">
        <f t="shared" si="2"/>
        <v>Peripherals</v>
      </c>
      <c r="F74" s="10">
        <v>18</v>
      </c>
      <c r="G74" s="13">
        <v>65000</v>
      </c>
      <c r="H74" s="1" t="s">
        <v>104</v>
      </c>
      <c r="I74" s="1" t="s">
        <v>100</v>
      </c>
    </row>
    <row r="75" spans="1:9" x14ac:dyDescent="0.35">
      <c r="A75" s="7" t="s">
        <v>304</v>
      </c>
      <c r="B75" s="1" t="s">
        <v>46</v>
      </c>
      <c r="C75" s="1" t="s">
        <v>305</v>
      </c>
      <c r="D75" s="1" t="s">
        <v>249</v>
      </c>
      <c r="E75" s="1" t="str">
        <f t="shared" si="2"/>
        <v>Mobile</v>
      </c>
      <c r="F75" s="10">
        <v>13</v>
      </c>
      <c r="G75" s="13">
        <v>180000</v>
      </c>
      <c r="H75" s="1" t="s">
        <v>127</v>
      </c>
      <c r="I75" s="1" t="s">
        <v>466</v>
      </c>
    </row>
    <row r="76" spans="1:9" x14ac:dyDescent="0.35">
      <c r="A76" s="7" t="s">
        <v>306</v>
      </c>
      <c r="B76" s="1" t="s">
        <v>56</v>
      </c>
      <c r="C76" s="1" t="s">
        <v>307</v>
      </c>
      <c r="D76" s="1" t="s">
        <v>178</v>
      </c>
      <c r="E76" s="1" t="str">
        <f t="shared" si="2"/>
        <v>Photography</v>
      </c>
      <c r="F76" s="10">
        <v>10</v>
      </c>
      <c r="G76" s="13">
        <v>175000</v>
      </c>
      <c r="H76" s="1" t="s">
        <v>308</v>
      </c>
      <c r="I76" s="1" t="s">
        <v>309</v>
      </c>
    </row>
    <row r="77" spans="1:9" x14ac:dyDescent="0.35">
      <c r="A77" s="7" t="s">
        <v>310</v>
      </c>
      <c r="B77" s="1" t="s">
        <v>311</v>
      </c>
      <c r="C77" s="1" t="s">
        <v>201</v>
      </c>
      <c r="D77" s="1" t="s">
        <v>312</v>
      </c>
      <c r="E77" s="1" t="str">
        <f t="shared" si="2"/>
        <v>Audio</v>
      </c>
      <c r="F77" s="10">
        <v>5</v>
      </c>
      <c r="G77" s="13">
        <v>85000</v>
      </c>
      <c r="H77" s="1" t="s">
        <v>313</v>
      </c>
      <c r="I77" s="1" t="s">
        <v>314</v>
      </c>
    </row>
    <row r="78" spans="1:9" x14ac:dyDescent="0.35">
      <c r="A78" s="7" t="s">
        <v>315</v>
      </c>
      <c r="B78" s="1" t="s">
        <v>316</v>
      </c>
      <c r="C78" s="1" t="s">
        <v>317</v>
      </c>
      <c r="D78" s="1" t="s">
        <v>318</v>
      </c>
      <c r="E78" s="1" t="str">
        <f t="shared" si="2"/>
        <v>Electronics</v>
      </c>
      <c r="F78" s="10">
        <v>17</v>
      </c>
      <c r="G78" s="13">
        <v>350000</v>
      </c>
      <c r="H78" s="1" t="s">
        <v>173</v>
      </c>
      <c r="I78" s="1" t="s">
        <v>278</v>
      </c>
    </row>
    <row r="79" spans="1:9" x14ac:dyDescent="0.35">
      <c r="A79" s="7" t="s">
        <v>319</v>
      </c>
      <c r="B79" s="1" t="s">
        <v>62</v>
      </c>
      <c r="C79" s="1" t="s">
        <v>320</v>
      </c>
      <c r="D79" s="1" t="s">
        <v>146</v>
      </c>
      <c r="E79" s="1" t="str">
        <f t="shared" si="2"/>
        <v>Electronics</v>
      </c>
      <c r="F79" s="10">
        <v>13</v>
      </c>
      <c r="G79" s="13">
        <v>350000</v>
      </c>
      <c r="H79" s="1" t="s">
        <v>321</v>
      </c>
      <c r="I79" s="1" t="s">
        <v>113</v>
      </c>
    </row>
    <row r="80" spans="1:9" x14ac:dyDescent="0.35">
      <c r="A80" s="7" t="s">
        <v>322</v>
      </c>
      <c r="B80" s="1" t="s">
        <v>62</v>
      </c>
      <c r="C80" s="1" t="s">
        <v>323</v>
      </c>
      <c r="D80" s="1" t="s">
        <v>324</v>
      </c>
      <c r="E80" s="1" t="str">
        <f t="shared" si="2"/>
        <v>Electronics</v>
      </c>
      <c r="F80" s="10">
        <v>8</v>
      </c>
      <c r="G80" s="13">
        <v>350000</v>
      </c>
      <c r="H80" s="1" t="s">
        <v>325</v>
      </c>
      <c r="I80" s="1" t="s">
        <v>117</v>
      </c>
    </row>
    <row r="81" spans="1:9" x14ac:dyDescent="0.35">
      <c r="A81" s="7" t="s">
        <v>326</v>
      </c>
      <c r="B81" s="1" t="s">
        <v>327</v>
      </c>
      <c r="C81" s="1" t="s">
        <v>328</v>
      </c>
      <c r="D81" s="1" t="s">
        <v>329</v>
      </c>
      <c r="E81" s="1" t="str">
        <f t="shared" si="2"/>
        <v>Audio</v>
      </c>
      <c r="F81" s="10">
        <v>13</v>
      </c>
      <c r="G81" s="13">
        <v>85000</v>
      </c>
      <c r="H81" s="1" t="s">
        <v>330</v>
      </c>
      <c r="I81" s="1" t="s">
        <v>117</v>
      </c>
    </row>
    <row r="82" spans="1:9" x14ac:dyDescent="0.35">
      <c r="A82" s="7" t="s">
        <v>404</v>
      </c>
      <c r="B82" s="1" t="s">
        <v>331</v>
      </c>
      <c r="C82" s="1" t="s">
        <v>332</v>
      </c>
      <c r="D82" s="1" t="s">
        <v>68</v>
      </c>
      <c r="E82" s="1" t="str">
        <f t="shared" si="2"/>
        <v>Mobile</v>
      </c>
      <c r="F82" s="10">
        <v>17</v>
      </c>
      <c r="G82" s="13">
        <v>150000</v>
      </c>
      <c r="H82" s="1" t="s">
        <v>333</v>
      </c>
      <c r="I82" s="1" t="s">
        <v>334</v>
      </c>
    </row>
    <row r="83" spans="1:9" x14ac:dyDescent="0.35">
      <c r="A83" s="7" t="s">
        <v>335</v>
      </c>
      <c r="B83" s="1" t="s">
        <v>336</v>
      </c>
      <c r="C83" s="1" t="s">
        <v>82</v>
      </c>
      <c r="D83" s="1" t="s">
        <v>337</v>
      </c>
      <c r="E83" s="1" t="str">
        <f t="shared" si="2"/>
        <v>Peripherals</v>
      </c>
      <c r="F83" s="10">
        <v>19</v>
      </c>
      <c r="G83" s="13">
        <v>65000</v>
      </c>
      <c r="H83" s="1" t="s">
        <v>338</v>
      </c>
      <c r="I83" s="1" t="s">
        <v>339</v>
      </c>
    </row>
    <row r="84" spans="1:9" x14ac:dyDescent="0.35">
      <c r="A84" s="7" t="s">
        <v>340</v>
      </c>
      <c r="B84" s="1" t="s">
        <v>156</v>
      </c>
      <c r="C84" s="1" t="s">
        <v>52</v>
      </c>
      <c r="D84" s="1" t="s">
        <v>31</v>
      </c>
      <c r="E84" s="1" t="str">
        <f t="shared" si="2"/>
        <v>Mobile</v>
      </c>
      <c r="F84" s="10">
        <v>1</v>
      </c>
      <c r="G84" s="13">
        <v>150000</v>
      </c>
      <c r="H84" s="1" t="s">
        <v>127</v>
      </c>
      <c r="I84" s="1" t="s">
        <v>341</v>
      </c>
    </row>
    <row r="85" spans="1:9" x14ac:dyDescent="0.35">
      <c r="A85" s="7" t="s">
        <v>342</v>
      </c>
      <c r="B85" s="1" t="s">
        <v>258</v>
      </c>
      <c r="C85" s="1" t="s">
        <v>254</v>
      </c>
      <c r="D85" s="1" t="s">
        <v>343</v>
      </c>
      <c r="E85" s="1" t="str">
        <f t="shared" si="2"/>
        <v>Computers</v>
      </c>
      <c r="F85" s="10">
        <v>13</v>
      </c>
      <c r="G85" s="13">
        <v>250000</v>
      </c>
      <c r="H85" s="1" t="s">
        <v>344</v>
      </c>
      <c r="I85" s="1" t="s">
        <v>250</v>
      </c>
    </row>
    <row r="86" spans="1:9" x14ac:dyDescent="0.35">
      <c r="A86" s="7" t="s">
        <v>345</v>
      </c>
      <c r="B86" s="1" t="s">
        <v>200</v>
      </c>
      <c r="C86" s="1" t="s">
        <v>346</v>
      </c>
      <c r="D86" s="1" t="s">
        <v>347</v>
      </c>
      <c r="E86" s="1" t="str">
        <f t="shared" si="2"/>
        <v>Perpiherals</v>
      </c>
      <c r="F86" s="10">
        <v>18</v>
      </c>
      <c r="G86" s="13">
        <v>65000</v>
      </c>
      <c r="H86" s="1" t="s">
        <v>267</v>
      </c>
      <c r="I86" s="1" t="s">
        <v>190</v>
      </c>
    </row>
    <row r="87" spans="1:9" x14ac:dyDescent="0.35">
      <c r="A87" s="7" t="s">
        <v>348</v>
      </c>
      <c r="B87" s="1" t="s">
        <v>349</v>
      </c>
      <c r="C87" s="1" t="s">
        <v>350</v>
      </c>
      <c r="D87" s="1" t="s">
        <v>351</v>
      </c>
      <c r="E87" s="1" t="str">
        <f t="shared" si="2"/>
        <v>Comupters</v>
      </c>
      <c r="F87" s="10">
        <v>20</v>
      </c>
      <c r="G87" s="13">
        <v>250000</v>
      </c>
      <c r="H87" s="1" t="s">
        <v>352</v>
      </c>
      <c r="I87" s="1" t="s">
        <v>353</v>
      </c>
    </row>
    <row r="88" spans="1:9" x14ac:dyDescent="0.35">
      <c r="A88" s="7">
        <v>45804</v>
      </c>
      <c r="B88" s="1" t="s">
        <v>87</v>
      </c>
      <c r="C88" s="1" t="s">
        <v>245</v>
      </c>
      <c r="D88" s="1" t="s">
        <v>19</v>
      </c>
      <c r="E88" s="1" t="str">
        <f t="shared" si="2"/>
        <v>Mobile</v>
      </c>
      <c r="F88" s="10">
        <v>4</v>
      </c>
      <c r="G88" s="13">
        <v>180000</v>
      </c>
      <c r="H88" s="1" t="s">
        <v>354</v>
      </c>
      <c r="I88" s="1" t="s">
        <v>33</v>
      </c>
    </row>
    <row r="89" spans="1:9" x14ac:dyDescent="0.35">
      <c r="A89" s="7">
        <v>45755</v>
      </c>
      <c r="B89" s="1" t="s">
        <v>336</v>
      </c>
      <c r="C89" s="1" t="s">
        <v>52</v>
      </c>
      <c r="D89" s="1" t="s">
        <v>31</v>
      </c>
      <c r="E89" s="1" t="str">
        <f t="shared" si="2"/>
        <v>Mobile</v>
      </c>
      <c r="F89" s="10">
        <v>5</v>
      </c>
      <c r="G89" s="13">
        <v>150000</v>
      </c>
      <c r="H89" s="1" t="s">
        <v>299</v>
      </c>
      <c r="I89" s="1" t="s">
        <v>355</v>
      </c>
    </row>
    <row r="90" spans="1:9" x14ac:dyDescent="0.35">
      <c r="A90" s="7" t="s">
        <v>356</v>
      </c>
      <c r="B90" s="1" t="s">
        <v>51</v>
      </c>
      <c r="C90" s="1" t="s">
        <v>357</v>
      </c>
      <c r="D90" s="1" t="s">
        <v>343</v>
      </c>
      <c r="E90" s="1" t="str">
        <f t="shared" si="2"/>
        <v>Computers</v>
      </c>
      <c r="F90" s="10">
        <v>11</v>
      </c>
      <c r="G90" s="13">
        <v>2500000</v>
      </c>
      <c r="H90" s="1" t="s">
        <v>20</v>
      </c>
      <c r="I90" s="1" t="s">
        <v>358</v>
      </c>
    </row>
    <row r="91" spans="1:9" x14ac:dyDescent="0.35">
      <c r="A91" s="7">
        <v>45725</v>
      </c>
      <c r="B91" s="1" t="s">
        <v>87</v>
      </c>
      <c r="C91" s="1" t="s">
        <v>359</v>
      </c>
      <c r="D91" s="1" t="s">
        <v>360</v>
      </c>
      <c r="E91" s="1" t="str">
        <f t="shared" si="2"/>
        <v>Computers</v>
      </c>
      <c r="F91" s="10">
        <v>20</v>
      </c>
      <c r="G91" s="13">
        <v>250000</v>
      </c>
      <c r="H91" s="1" t="s">
        <v>416</v>
      </c>
      <c r="I91" s="1" t="s">
        <v>419</v>
      </c>
    </row>
    <row r="92" spans="1:9" x14ac:dyDescent="0.35">
      <c r="A92" s="7">
        <v>45708</v>
      </c>
      <c r="B92" s="1" t="s">
        <v>361</v>
      </c>
      <c r="C92" s="1" t="s">
        <v>362</v>
      </c>
      <c r="D92" s="1" t="s">
        <v>363</v>
      </c>
      <c r="E92" s="1" t="str">
        <f t="shared" si="2"/>
        <v>Audio</v>
      </c>
      <c r="F92" s="10">
        <v>7</v>
      </c>
      <c r="G92" s="13">
        <v>89233</v>
      </c>
      <c r="H92" s="1" t="s">
        <v>231</v>
      </c>
      <c r="I92" s="1" t="s">
        <v>364</v>
      </c>
    </row>
    <row r="93" spans="1:9" x14ac:dyDescent="0.35">
      <c r="A93" s="7" t="s">
        <v>365</v>
      </c>
      <c r="B93" s="1" t="s">
        <v>115</v>
      </c>
      <c r="C93" s="1" t="s">
        <v>366</v>
      </c>
      <c r="D93" s="1" t="s">
        <v>410</v>
      </c>
      <c r="E93" s="1" t="str">
        <f t="shared" si="2"/>
        <v>Computer</v>
      </c>
      <c r="F93" s="10">
        <v>5</v>
      </c>
      <c r="G93" s="13">
        <v>250000</v>
      </c>
      <c r="H93" s="1" t="s">
        <v>367</v>
      </c>
      <c r="I93" s="1" t="s">
        <v>368</v>
      </c>
    </row>
    <row r="94" spans="1:9" x14ac:dyDescent="0.35">
      <c r="A94" s="7" t="s">
        <v>369</v>
      </c>
      <c r="B94" s="1" t="s">
        <v>370</v>
      </c>
      <c r="C94" s="1" t="s">
        <v>407</v>
      </c>
      <c r="D94" s="1" t="s">
        <v>178</v>
      </c>
      <c r="E94" s="1" t="str">
        <f t="shared" si="2"/>
        <v>Photography</v>
      </c>
      <c r="F94" s="10">
        <v>19</v>
      </c>
      <c r="G94" s="13">
        <v>175000</v>
      </c>
      <c r="H94" s="1" t="s">
        <v>371</v>
      </c>
      <c r="I94" s="1" t="s">
        <v>372</v>
      </c>
    </row>
    <row r="95" spans="1:9" x14ac:dyDescent="0.35">
      <c r="A95" s="7" t="s">
        <v>373</v>
      </c>
      <c r="B95" s="1" t="s">
        <v>258</v>
      </c>
      <c r="C95" s="1" t="s">
        <v>143</v>
      </c>
      <c r="D95" s="1" t="s">
        <v>146</v>
      </c>
      <c r="E95" s="1" t="str">
        <f t="shared" si="2"/>
        <v>Electronics</v>
      </c>
      <c r="F95" s="10">
        <v>14</v>
      </c>
      <c r="G95" s="13">
        <v>350000</v>
      </c>
      <c r="H95" s="1" t="s">
        <v>374</v>
      </c>
      <c r="I95" s="1" t="s">
        <v>375</v>
      </c>
    </row>
    <row r="96" spans="1:9" x14ac:dyDescent="0.35">
      <c r="A96" s="7" t="s">
        <v>376</v>
      </c>
      <c r="B96" s="1" t="s">
        <v>258</v>
      </c>
      <c r="C96" s="1" t="s">
        <v>377</v>
      </c>
      <c r="D96" s="1" t="s">
        <v>378</v>
      </c>
      <c r="E96" s="1" t="str">
        <f t="shared" si="2"/>
        <v>Photography</v>
      </c>
      <c r="F96" s="10">
        <v>20</v>
      </c>
      <c r="G96" s="13">
        <v>175000</v>
      </c>
      <c r="H96" s="1" t="s">
        <v>415</v>
      </c>
      <c r="I96" s="1" t="s">
        <v>379</v>
      </c>
    </row>
    <row r="97" spans="1:9" x14ac:dyDescent="0.35">
      <c r="A97" s="7" t="s">
        <v>380</v>
      </c>
      <c r="B97" s="1" t="s">
        <v>381</v>
      </c>
      <c r="C97" s="1" t="s">
        <v>328</v>
      </c>
      <c r="D97" s="1" t="s">
        <v>252</v>
      </c>
      <c r="E97" s="1" t="str">
        <f t="shared" si="2"/>
        <v>Audio</v>
      </c>
      <c r="F97" s="10">
        <v>18</v>
      </c>
      <c r="G97" s="13">
        <v>85000</v>
      </c>
      <c r="H97" s="1" t="s">
        <v>382</v>
      </c>
      <c r="I97" s="1" t="s">
        <v>383</v>
      </c>
    </row>
    <row r="98" spans="1:9" x14ac:dyDescent="0.35">
      <c r="A98" s="7" t="s">
        <v>403</v>
      </c>
      <c r="B98" s="1" t="s">
        <v>62</v>
      </c>
      <c r="C98" s="1" t="s">
        <v>384</v>
      </c>
      <c r="D98" s="1" t="s">
        <v>385</v>
      </c>
      <c r="E98" s="1" t="str">
        <f t="shared" ref="E98:E101" si="3">PROPER(TRIM(D98))</f>
        <v>Photography</v>
      </c>
      <c r="F98" s="10">
        <v>17</v>
      </c>
      <c r="G98" s="13">
        <v>175000</v>
      </c>
      <c r="H98" s="1" t="s">
        <v>386</v>
      </c>
      <c r="I98" s="1" t="s">
        <v>387</v>
      </c>
    </row>
    <row r="99" spans="1:9" x14ac:dyDescent="0.35">
      <c r="A99" s="7" t="s">
        <v>388</v>
      </c>
      <c r="B99" s="1" t="s">
        <v>8</v>
      </c>
      <c r="C99" s="1" t="s">
        <v>196</v>
      </c>
      <c r="D99" s="1" t="s">
        <v>343</v>
      </c>
      <c r="E99" s="1" t="str">
        <f t="shared" si="3"/>
        <v>Computers</v>
      </c>
      <c r="F99" s="10">
        <v>20</v>
      </c>
      <c r="G99" s="13">
        <v>250000</v>
      </c>
      <c r="H99" s="1" t="s">
        <v>277</v>
      </c>
      <c r="I99" s="1" t="s">
        <v>17</v>
      </c>
    </row>
    <row r="100" spans="1:9" x14ac:dyDescent="0.35">
      <c r="A100" s="7" t="s">
        <v>389</v>
      </c>
      <c r="B100" s="1" t="s">
        <v>192</v>
      </c>
      <c r="C100" s="1" t="s">
        <v>265</v>
      </c>
      <c r="D100" s="1" t="s">
        <v>146</v>
      </c>
      <c r="E100" s="1" t="str">
        <f t="shared" si="3"/>
        <v>Electronics</v>
      </c>
      <c r="F100" s="10">
        <v>20</v>
      </c>
      <c r="G100" s="13">
        <v>350000</v>
      </c>
      <c r="H100" s="1" t="s">
        <v>390</v>
      </c>
      <c r="I100" s="1" t="s">
        <v>391</v>
      </c>
    </row>
    <row r="101" spans="1:9" x14ac:dyDescent="0.35">
      <c r="A101" s="7" t="s">
        <v>392</v>
      </c>
      <c r="B101" s="1" t="s">
        <v>393</v>
      </c>
      <c r="C101" s="1" t="s">
        <v>394</v>
      </c>
      <c r="D101" s="1" t="s">
        <v>395</v>
      </c>
      <c r="E101" s="1" t="str">
        <f t="shared" si="3"/>
        <v>Mobile</v>
      </c>
      <c r="F101" s="10">
        <v>18</v>
      </c>
      <c r="G101" s="13">
        <v>150000</v>
      </c>
      <c r="H101" s="1" t="s">
        <v>396</v>
      </c>
      <c r="I101" s="1" t="s">
        <v>397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4057-EF66-40E1-8395-6B1DB60E428A}">
  <dimension ref="A1:I101"/>
  <sheetViews>
    <sheetView workbookViewId="0">
      <selection activeCell="C1" sqref="C1"/>
    </sheetView>
  </sheetViews>
  <sheetFormatPr defaultRowHeight="14.5" x14ac:dyDescent="0.35"/>
  <cols>
    <col min="1" max="1" width="18.81640625" style="8" customWidth="1"/>
    <col min="2" max="2" width="18.453125" style="8" customWidth="1"/>
    <col min="3" max="4" width="18.81640625" customWidth="1"/>
    <col min="5" max="5" width="18.81640625" style="11" customWidth="1"/>
    <col min="6" max="6" width="18.81640625" style="14" customWidth="1"/>
    <col min="7" max="8" width="18.81640625" customWidth="1"/>
    <col min="9" max="9" width="14.7265625" style="1" bestFit="1" customWidth="1"/>
  </cols>
  <sheetData>
    <row r="1" spans="1:9" x14ac:dyDescent="0.35">
      <c r="A1" s="6" t="s">
        <v>0</v>
      </c>
      <c r="B1" s="6" t="s">
        <v>442</v>
      </c>
      <c r="C1" s="2" t="s">
        <v>1</v>
      </c>
      <c r="D1" s="2" t="s">
        <v>2</v>
      </c>
      <c r="E1" s="9" t="s">
        <v>4</v>
      </c>
      <c r="F1" s="12" t="s">
        <v>5</v>
      </c>
      <c r="G1" s="2" t="s">
        <v>420</v>
      </c>
      <c r="H1" s="16" t="s">
        <v>421</v>
      </c>
      <c r="I1" s="2" t="s">
        <v>423</v>
      </c>
    </row>
    <row r="2" spans="1:9" ht="20.25" customHeight="1" x14ac:dyDescent="0.35">
      <c r="A2" s="7" t="str">
        <f>TEXT(TRIM(UPPER(CLEAN('Raw Data'!A2))),"dd/mm/yyy")</f>
        <v>13/06/2025</v>
      </c>
      <c r="B2" s="24">
        <f>DATE(RIGHT(Table2[[#This Row],[Date]],4), MID(Table2[[#This Row],[Date]],4,2), LEFT(Table2[[#This Row],[Date]],2))</f>
        <v>45821</v>
      </c>
      <c r="C2" s="1" t="str">
        <f>PROPER(TRIM('Raw Data'!B2))</f>
        <v>South</v>
      </c>
      <c r="D2" s="1" t="str">
        <f>UPPER(TRIM(CLEAN(('Raw Data'!C2))))</f>
        <v>LAPTOP A15</v>
      </c>
      <c r="E2" s="10">
        <v>8</v>
      </c>
      <c r="F2" s="13">
        <v>2500000</v>
      </c>
      <c r="G2" s="1" t="str">
        <f>PROPER(TRIM('Raw Data'!H2))</f>
        <v>Peter Obi</v>
      </c>
      <c r="H2" s="17" t="str">
        <f>PROPER(TRIM('Raw Data'!I2))</f>
        <v>Bright Solutions</v>
      </c>
      <c r="I2" s="13">
        <f>E2*F2</f>
        <v>20000000</v>
      </c>
    </row>
    <row r="3" spans="1:9" x14ac:dyDescent="0.35">
      <c r="A3" s="7" t="str">
        <f>TEXT(TRIM(UPPER(CLEAN('Raw Data'!A3))),"dd/mm/yyy")</f>
        <v>08/04/2025</v>
      </c>
      <c r="B3" s="24">
        <f>DATE(RIGHT(Table2[[#This Row],[Date]],4), MID(Table2[[#This Row],[Date]],4,2), LEFT(Table2[[#This Row],[Date]],2))</f>
        <v>45755</v>
      </c>
      <c r="C3" s="1" t="str">
        <f>PROPER(TRIM('Raw Data'!B3))</f>
        <v>East</v>
      </c>
      <c r="D3" s="1" t="str">
        <f>UPPER(TRIM(CLEAN(('Raw Data'!C3))))</f>
        <v>TV 43Q</v>
      </c>
      <c r="E3" s="10">
        <v>6</v>
      </c>
      <c r="F3" s="13">
        <v>350000</v>
      </c>
      <c r="G3" s="1" t="str">
        <f>PROPER(TRIM('Raw Data'!H3))</f>
        <v>Ifeanyi Okafor</v>
      </c>
      <c r="H3" s="17" t="str">
        <f>PROPER(TRIM('Raw Data'!I3))</f>
        <v>Musa Enterprises</v>
      </c>
      <c r="I3" s="13">
        <f t="shared" ref="I3:I66" si="0">E3*F3</f>
        <v>2100000</v>
      </c>
    </row>
    <row r="4" spans="1:9" x14ac:dyDescent="0.35">
      <c r="A4" s="7" t="str">
        <f>TEXT(TRIM(UPPER(CLEAN('Raw Data'!A4))),"dd/mm/yyy")</f>
        <v>29/01/2025</v>
      </c>
      <c r="B4" s="24">
        <f>DATE(RIGHT(Table2[[#This Row],[Date]],4), MID(Table2[[#This Row],[Date]],4,2), LEFT(Table2[[#This Row],[Date]],2))</f>
        <v>45686</v>
      </c>
      <c r="C4" s="1" t="str">
        <f>PROPER(TRIM('Raw Data'!B4))</f>
        <v>North</v>
      </c>
      <c r="D4" s="1" t="str">
        <f>UPPER(TRIM(CLEAN(('Raw Data'!C4))))</f>
        <v>PHONE X12</v>
      </c>
      <c r="E4" s="10">
        <v>14</v>
      </c>
      <c r="F4" s="13">
        <v>180000</v>
      </c>
      <c r="G4" s="1" t="str">
        <f>PROPER(TRIM('Raw Data'!H4))</f>
        <v>Fola Balogun</v>
      </c>
      <c r="H4" s="17" t="str">
        <f>PROPER(TRIM('Raw Data'!I4))</f>
        <v>Zainab Global</v>
      </c>
      <c r="I4" s="13">
        <f t="shared" si="0"/>
        <v>2520000</v>
      </c>
    </row>
    <row r="5" spans="1:9" x14ac:dyDescent="0.35">
      <c r="A5" s="7" t="str">
        <f>TEXT(TRIM(UPPER(CLEAN('Raw Data'!A5))),"dd/mm/yyy")</f>
        <v>17/05/2025</v>
      </c>
      <c r="B5" s="24">
        <f>DATE(RIGHT(Table2[[#This Row],[Date]],4), MID(Table2[[#This Row],[Date]],4,2), LEFT(Table2[[#This Row],[Date]],2))</f>
        <v>45794</v>
      </c>
      <c r="C5" s="1" t="str">
        <f>PROPER(TRIM('Raw Data'!B5))</f>
        <v>South</v>
      </c>
      <c r="D5" s="1" t="str">
        <f>UPPER(TRIM(CLEAN(('Raw Data'!C5))))</f>
        <v>MONITOR M24</v>
      </c>
      <c r="E5" s="10">
        <v>18</v>
      </c>
      <c r="F5" s="13">
        <v>65000</v>
      </c>
      <c r="G5" s="1" t="str">
        <f>PROPER(TRIM('Raw Data'!H5))</f>
        <v>Ifeanyi Okafor</v>
      </c>
      <c r="H5" s="17" t="str">
        <f>PROPER(TRIM('Raw Data'!I5))</f>
        <v>Jide Superstores</v>
      </c>
      <c r="I5" s="13">
        <f t="shared" si="0"/>
        <v>1170000</v>
      </c>
    </row>
    <row r="6" spans="1:9" x14ac:dyDescent="0.35">
      <c r="A6" s="7" t="str">
        <f>TEXT(TRIM(UPPER(CLEAN('Raw Data'!A6))),"dd/mm/yyy")</f>
        <v>28/01/2025</v>
      </c>
      <c r="B6" s="24">
        <f>DATE(RIGHT(Table2[[#This Row],[Date]],4), MID(Table2[[#This Row],[Date]],4,2), LEFT(Table2[[#This Row],[Date]],2))</f>
        <v>45685</v>
      </c>
      <c r="C6" s="1" t="str">
        <f>PROPER(TRIM('Raw Data'!B6))</f>
        <v>West</v>
      </c>
      <c r="D6" s="1" t="str">
        <f>UPPER(TRIM(CLEAN(('Raw Data'!C6))))</f>
        <v>PHONE X12</v>
      </c>
      <c r="E6" s="10">
        <v>5</v>
      </c>
      <c r="F6" s="13">
        <v>180000</v>
      </c>
      <c r="G6" s="1" t="str">
        <f>PROPER(TRIM('Raw Data'!H6))</f>
        <v>Peter Obi</v>
      </c>
      <c r="H6" s="17" t="str">
        <f>PROPER(TRIM('Raw Data'!I6))</f>
        <v>Chika Mart</v>
      </c>
      <c r="I6" s="13">
        <f t="shared" si="0"/>
        <v>900000</v>
      </c>
    </row>
    <row r="7" spans="1:9" x14ac:dyDescent="0.35">
      <c r="A7" s="7" t="str">
        <f>TEXT(TRIM(UPPER(CLEAN('Raw Data'!A7))),"dd/mm/yyy")</f>
        <v>26/05/2025</v>
      </c>
      <c r="B7" s="24">
        <f>DATE(RIGHT(Table2[[#This Row],[Date]],4), MID(Table2[[#This Row],[Date]],4,2), LEFT(Table2[[#This Row],[Date]],2))</f>
        <v>45803</v>
      </c>
      <c r="C7" s="1" t="str">
        <f>PROPER(TRIM('Raw Data'!B7))</f>
        <v>East</v>
      </c>
      <c r="D7" s="1" t="str">
        <f>UPPER(TRIM(CLEAN(('Raw Data'!C7))))</f>
        <v>PHONE X12</v>
      </c>
      <c r="E7" s="10">
        <v>19</v>
      </c>
      <c r="F7" s="13">
        <v>157427</v>
      </c>
      <c r="G7" s="1" t="str">
        <f>PROPER(TRIM('Raw Data'!H7))</f>
        <v>Ifeanyi Okafor</v>
      </c>
      <c r="H7" s="17" t="str">
        <f>PROPER(TRIM('Raw Data'!I7))</f>
        <v>Musa Enterprises</v>
      </c>
      <c r="I7" s="13">
        <f t="shared" si="0"/>
        <v>2991113</v>
      </c>
    </row>
    <row r="8" spans="1:9" x14ac:dyDescent="0.35">
      <c r="A8" s="7" t="str">
        <f>TEXT(TRIM(UPPER(CLEAN('Raw Data'!A8))),"dd/mm/yyy")</f>
        <v>06/05/2025</v>
      </c>
      <c r="B8" s="24">
        <f>DATE(RIGHT(Table2[[#This Row],[Date]],4), MID(Table2[[#This Row],[Date]],4,2), LEFT(Table2[[#This Row],[Date]],2))</f>
        <v>45783</v>
      </c>
      <c r="C8" s="1" t="str">
        <f>PROPER(TRIM('Raw Data'!B8))</f>
        <v>West</v>
      </c>
      <c r="D8" s="1" t="str">
        <f>UPPER(TRIM(CLEAN(('Raw Data'!C8))))</f>
        <v>TV 43Q</v>
      </c>
      <c r="E8" s="10">
        <v>3</v>
      </c>
      <c r="F8" s="13">
        <v>350000</v>
      </c>
      <c r="G8" s="1" t="str">
        <f>PROPER(TRIM('Raw Data'!H8))</f>
        <v>Aisha Bello</v>
      </c>
      <c r="H8" s="17" t="str">
        <f>PROPER(TRIM('Raw Data'!I8))</f>
        <v>Chika Mart</v>
      </c>
      <c r="I8" s="13">
        <f t="shared" si="0"/>
        <v>1050000</v>
      </c>
    </row>
    <row r="9" spans="1:9" x14ac:dyDescent="0.35">
      <c r="A9" s="7" t="str">
        <f>TEXT(TRIM(UPPER(CLEAN('Raw Data'!A9))),"dd/mm/yyy")</f>
        <v>10/02/2025</v>
      </c>
      <c r="B9" s="24">
        <f>DATE(RIGHT(Table2[[#This Row],[Date]],4), MID(Table2[[#This Row],[Date]],4,2), LEFT(Table2[[#This Row],[Date]],2))</f>
        <v>45698</v>
      </c>
      <c r="C9" s="1" t="str">
        <f>PROPER(TRIM('Raw Data'!B9))</f>
        <v>West</v>
      </c>
      <c r="D9" s="1" t="str">
        <f>UPPER(TRIM(CLEAN(('Raw Data'!C9))))</f>
        <v>MONITOR M24</v>
      </c>
      <c r="E9" s="10">
        <v>2</v>
      </c>
      <c r="F9" s="13">
        <v>65000</v>
      </c>
      <c r="G9" s="1" t="str">
        <f>PROPER(TRIM('Raw Data'!H9))</f>
        <v>Peter Obi</v>
      </c>
      <c r="H9" s="17" t="str">
        <f>PROPER(TRIM('Raw Data'!I9))</f>
        <v>Musa Enterprises</v>
      </c>
      <c r="I9" s="13">
        <f t="shared" si="0"/>
        <v>130000</v>
      </c>
    </row>
    <row r="10" spans="1:9" x14ac:dyDescent="0.35">
      <c r="A10" s="7" t="str">
        <f>TEXT(TRIM(UPPER(CLEAN('Raw Data'!A10))),"dd/mm/yyy")</f>
        <v>01/02/2025</v>
      </c>
      <c r="B10" s="24">
        <f>DATE(RIGHT(Table2[[#This Row],[Date]],4), MID(Table2[[#This Row],[Date]],4,2), LEFT(Table2[[#This Row],[Date]],2))</f>
        <v>45689</v>
      </c>
      <c r="C10" s="1" t="str">
        <f>PROPER(TRIM('Raw Data'!B10))</f>
        <v>East</v>
      </c>
      <c r="D10" s="1" t="str">
        <f>UPPER(TRIM(CLEAN(('Raw Data'!C10))))</f>
        <v>CAMERA C100</v>
      </c>
      <c r="E10" s="10">
        <v>14</v>
      </c>
      <c r="F10" s="13">
        <v>175000</v>
      </c>
      <c r="G10" s="1" t="str">
        <f>PROPER(TRIM('Raw Data'!H10))</f>
        <v>Fola Balogun</v>
      </c>
      <c r="H10" s="17" t="str">
        <f>PROPER(TRIM('Raw Data'!I10))</f>
        <v>Bright Solutions</v>
      </c>
      <c r="I10" s="13">
        <f t="shared" si="0"/>
        <v>2450000</v>
      </c>
    </row>
    <row r="11" spans="1:9" x14ac:dyDescent="0.35">
      <c r="A11" s="7" t="str">
        <f>TEXT(TRIM(UPPER(CLEAN('Raw Data'!A11))),"dd/mm/yyy")</f>
        <v>28/06/2025</v>
      </c>
      <c r="B11" s="24">
        <f>DATE(RIGHT(Table2[[#This Row],[Date]],4), MID(Table2[[#This Row],[Date]],4,2), LEFT(Table2[[#This Row],[Date]],2))</f>
        <v>45836</v>
      </c>
      <c r="C11" s="1" t="str">
        <f>PROPER(TRIM('Raw Data'!B11))</f>
        <v>West</v>
      </c>
      <c r="D11" s="1" t="str">
        <f>UPPER(TRIM(CLEAN(('Raw Data'!C11))))</f>
        <v>TABLET T8</v>
      </c>
      <c r="E11" s="10">
        <v>4</v>
      </c>
      <c r="F11" s="13">
        <v>150000</v>
      </c>
      <c r="G11" s="1" t="str">
        <f>PROPER(TRIM('Raw Data'!H11))</f>
        <v>Peter Obi</v>
      </c>
      <c r="H11" s="17" t="str">
        <f>PROPER(TRIM('Raw Data'!I11))</f>
        <v>Alpha Retailers</v>
      </c>
      <c r="I11" s="13">
        <f t="shared" si="0"/>
        <v>600000</v>
      </c>
    </row>
    <row r="12" spans="1:9" x14ac:dyDescent="0.35">
      <c r="A12" s="7" t="str">
        <f>TEXT(TRIM(UPPER(CLEAN('Raw Data'!A12))),"dd/mm/yyy")</f>
        <v>18/04/2025</v>
      </c>
      <c r="B12" s="24">
        <f>DATE(RIGHT(Table2[[#This Row],[Date]],4), MID(Table2[[#This Row],[Date]],4,2), LEFT(Table2[[#This Row],[Date]],2))</f>
        <v>45765</v>
      </c>
      <c r="C12" s="1" t="str">
        <f>PROPER(TRIM('Raw Data'!B12))</f>
        <v>South</v>
      </c>
      <c r="D12" s="1" t="str">
        <f>UPPER(TRIM(CLEAN(('Raw Data'!C12))))</f>
        <v>TABLET T8</v>
      </c>
      <c r="E12" s="10">
        <v>20</v>
      </c>
      <c r="F12" s="13">
        <v>150000</v>
      </c>
      <c r="G12" s="1" t="str">
        <f>PROPER(TRIM('Raw Data'!H12))</f>
        <v>Fola Balogun</v>
      </c>
      <c r="H12" s="17" t="str">
        <f>PROPER(TRIM('Raw Data'!I12))</f>
        <v>Musa Enterprises</v>
      </c>
      <c r="I12" s="13">
        <f t="shared" si="0"/>
        <v>3000000</v>
      </c>
    </row>
    <row r="13" spans="1:9" x14ac:dyDescent="0.35">
      <c r="A13" s="7" t="str">
        <f>TEXT(TRIM(UPPER(CLEAN('Raw Data'!A13))),"dd/mm/yyy")</f>
        <v>25/02/2025</v>
      </c>
      <c r="B13" s="24">
        <f>DATE(RIGHT(Table2[[#This Row],[Date]],4), MID(Table2[[#This Row],[Date]],4,2), LEFT(Table2[[#This Row],[Date]],2))</f>
        <v>45713</v>
      </c>
      <c r="C13" s="1" t="str">
        <f>PROPER(TRIM('Raw Data'!B13))</f>
        <v>North</v>
      </c>
      <c r="D13" s="1" t="str">
        <f>UPPER(TRIM(CLEAN(('Raw Data'!C13))))</f>
        <v>SPEAKER S10</v>
      </c>
      <c r="E13" s="10">
        <v>6</v>
      </c>
      <c r="F13" s="13">
        <v>85000</v>
      </c>
      <c r="G13" s="1" t="str">
        <f>PROPER(TRIM('Raw Data'!H13))</f>
        <v>Aisha Bello</v>
      </c>
      <c r="H13" s="17" t="str">
        <f>PROPER(TRIM('Raw Data'!I13))</f>
        <v>Omega Wholesale</v>
      </c>
      <c r="I13" s="13">
        <f t="shared" si="0"/>
        <v>510000</v>
      </c>
    </row>
    <row r="14" spans="1:9" x14ac:dyDescent="0.35">
      <c r="A14" s="7" t="str">
        <f>TEXT(TRIM(UPPER(CLEAN('Raw Data'!A14))),"dd/mm/yyy")</f>
        <v>29/04/2025</v>
      </c>
      <c r="B14" s="24">
        <f>DATE(RIGHT(Table2[[#This Row],[Date]],4), MID(Table2[[#This Row],[Date]],4,2), LEFT(Table2[[#This Row],[Date]],2))</f>
        <v>45776</v>
      </c>
      <c r="C14" s="1" t="str">
        <f>PROPER(TRIM('Raw Data'!B14))</f>
        <v>West</v>
      </c>
      <c r="D14" s="1" t="str">
        <f>UPPER(TRIM(CLEAN(('Raw Data'!C14))))</f>
        <v>TABLET T8</v>
      </c>
      <c r="E14" s="10">
        <v>1</v>
      </c>
      <c r="F14" s="13">
        <v>150000</v>
      </c>
      <c r="G14" s="1" t="str">
        <f>PROPER(TRIM('Raw Data'!H14))</f>
        <v>Aisha Bello</v>
      </c>
      <c r="H14" s="17" t="str">
        <f>PROPER(TRIM('Raw Data'!I14))</f>
        <v>Kelvin Tech</v>
      </c>
      <c r="I14" s="13">
        <f t="shared" si="0"/>
        <v>150000</v>
      </c>
    </row>
    <row r="15" spans="1:9" x14ac:dyDescent="0.35">
      <c r="A15" s="7" t="str">
        <f>TEXT(TRIM(UPPER(CLEAN('Raw Data'!A15))),"dd/mm/yyy")</f>
        <v>02/02/2025</v>
      </c>
      <c r="B15" s="24">
        <f>DATE(RIGHT(Table2[[#This Row],[Date]],4), MID(Table2[[#This Row],[Date]],4,2), LEFT(Table2[[#This Row],[Date]],2))</f>
        <v>45690</v>
      </c>
      <c r="C15" s="1" t="str">
        <f>PROPER(TRIM('Raw Data'!B15))</f>
        <v>East</v>
      </c>
      <c r="D15" s="1" t="str">
        <f>UPPER(TRIM(CLEAN(('Raw Data'!C15))))</f>
        <v>TV 43Q</v>
      </c>
      <c r="E15" s="10">
        <v>18</v>
      </c>
      <c r="F15" s="13">
        <v>35000</v>
      </c>
      <c r="G15" s="1" t="str">
        <f>PROPER(TRIM('Raw Data'!H15))</f>
        <v>Chinedu Nwosu</v>
      </c>
      <c r="H15" s="17" t="str">
        <f>PROPER(TRIM('Raw Data'!I15))</f>
        <v>Emeka Traders</v>
      </c>
      <c r="I15" s="13">
        <f t="shared" si="0"/>
        <v>630000</v>
      </c>
    </row>
    <row r="16" spans="1:9" x14ac:dyDescent="0.35">
      <c r="A16" s="7" t="str">
        <f>TEXT(TRIM(UPPER(CLEAN('Raw Data'!A16))),"dd/mm/yyy")</f>
        <v>15/04/2025</v>
      </c>
      <c r="B16" s="24">
        <f>DATE(RIGHT(Table2[[#This Row],[Date]],4), MID(Table2[[#This Row],[Date]],4,2), LEFT(Table2[[#This Row],[Date]],2))</f>
        <v>45762</v>
      </c>
      <c r="C16" s="1" t="str">
        <f>PROPER(TRIM('Raw Data'!B16))</f>
        <v>South</v>
      </c>
      <c r="D16" s="1" t="str">
        <f>UPPER(TRIM(CLEAN(('Raw Data'!C16))))</f>
        <v>SPEAKER S10</v>
      </c>
      <c r="E16" s="10">
        <v>2</v>
      </c>
      <c r="F16" s="13">
        <v>85000</v>
      </c>
      <c r="G16" s="1" t="str">
        <f>PROPER(TRIM('Raw Data'!H16))</f>
        <v>Ifeanyi Okafor</v>
      </c>
      <c r="H16" s="17" t="str">
        <f>PROPER(TRIM('Raw Data'!I16))</f>
        <v>Bright Solutions</v>
      </c>
      <c r="I16" s="13">
        <f t="shared" si="0"/>
        <v>170000</v>
      </c>
    </row>
    <row r="17" spans="1:9" x14ac:dyDescent="0.35">
      <c r="A17" s="7" t="str">
        <f>TEXT(TRIM(UPPER(CLEAN('Raw Data'!A17))),"dd/mm/yyy")</f>
        <v>12/06/2025</v>
      </c>
      <c r="B17" s="24">
        <f>DATE(RIGHT(Table2[[#This Row],[Date]],4), MID(Table2[[#This Row],[Date]],4,2), LEFT(Table2[[#This Row],[Date]],2))</f>
        <v>45820</v>
      </c>
      <c r="C17" s="1" t="str">
        <f>PROPER(TRIM('Raw Data'!B17))</f>
        <v>East</v>
      </c>
      <c r="D17" s="1" t="str">
        <f>UPPER(TRIM(CLEAN(('Raw Data'!C17))))</f>
        <v>MONITOR M24</v>
      </c>
      <c r="E17" s="10">
        <v>11</v>
      </c>
      <c r="F17" s="13">
        <v>62035</v>
      </c>
      <c r="G17" s="1" t="str">
        <f>PROPER(TRIM('Raw Data'!H17))</f>
        <v>Chinedu Nwosu</v>
      </c>
      <c r="H17" s="17" t="str">
        <f>PROPER(TRIM('Raw Data'!I17))</f>
        <v>Tola Ventures</v>
      </c>
      <c r="I17" s="13">
        <f t="shared" si="0"/>
        <v>682385</v>
      </c>
    </row>
    <row r="18" spans="1:9" x14ac:dyDescent="0.35">
      <c r="A18" s="7" t="str">
        <f>TEXT(TRIM(UPPER(CLEAN('Raw Data'!A18))),"dd/mm/yyy")</f>
        <v>31/01/2025</v>
      </c>
      <c r="B18" s="24">
        <f>DATE(RIGHT(Table2[[#This Row],[Date]],4), MID(Table2[[#This Row],[Date]],4,2), LEFT(Table2[[#This Row],[Date]],2))</f>
        <v>45688</v>
      </c>
      <c r="C18" s="1" t="str">
        <f>PROPER(TRIM('Raw Data'!B18))</f>
        <v>East</v>
      </c>
      <c r="D18" s="1" t="str">
        <f>UPPER(TRIM(CLEAN(('Raw Data'!C18))))</f>
        <v>CAMERA C100</v>
      </c>
      <c r="E18" s="10">
        <v>10</v>
      </c>
      <c r="F18" s="13">
        <v>175000</v>
      </c>
      <c r="G18" s="1" t="str">
        <f>PROPER(TRIM('Raw Data'!H18))</f>
        <v>Fola Balogun</v>
      </c>
      <c r="H18" s="17" t="str">
        <f>PROPER(TRIM('Raw Data'!I18))</f>
        <v>Omega Wholesale</v>
      </c>
      <c r="I18" s="13">
        <f t="shared" si="0"/>
        <v>1750000</v>
      </c>
    </row>
    <row r="19" spans="1:9" x14ac:dyDescent="0.35">
      <c r="A19" s="7" t="str">
        <f>TEXT(TRIM(UPPER(CLEAN('Raw Data'!A19))),"dd/mm/yyy")</f>
        <v>02/02/2025</v>
      </c>
      <c r="B19" s="24">
        <f>DATE(RIGHT(Table2[[#This Row],[Date]],4), MID(Table2[[#This Row],[Date]],4,2), LEFT(Table2[[#This Row],[Date]],2))</f>
        <v>45690</v>
      </c>
      <c r="C19" s="1" t="str">
        <f>PROPER(TRIM('Raw Data'!B19))</f>
        <v>West</v>
      </c>
      <c r="D19" s="1" t="str">
        <f>UPPER(TRIM(CLEAN(('Raw Data'!C19))))</f>
        <v>TABLET T8</v>
      </c>
      <c r="E19" s="10">
        <v>4</v>
      </c>
      <c r="F19" s="13">
        <v>150000</v>
      </c>
      <c r="G19" s="1" t="str">
        <f>PROPER(TRIM('Raw Data'!H19))</f>
        <v>Mary John</v>
      </c>
      <c r="H19" s="17" t="str">
        <f>PROPER(TRIM('Raw Data'!I19))</f>
        <v>Jide Superstores</v>
      </c>
      <c r="I19" s="13">
        <f t="shared" si="0"/>
        <v>600000</v>
      </c>
    </row>
    <row r="20" spans="1:9" x14ac:dyDescent="0.35">
      <c r="A20" s="7" t="str">
        <f>TEXT(TRIM(UPPER(CLEAN('Raw Data'!A20))),"dd/mm/yyy")</f>
        <v>25/05/2025</v>
      </c>
      <c r="B20" s="24">
        <f>DATE(RIGHT(Table2[[#This Row],[Date]],4), MID(Table2[[#This Row],[Date]],4,2), LEFT(Table2[[#This Row],[Date]],2))</f>
        <v>45802</v>
      </c>
      <c r="C20" s="1" t="str">
        <f>PROPER(TRIM('Raw Data'!B20))</f>
        <v>West</v>
      </c>
      <c r="D20" s="1" t="str">
        <f>UPPER(TRIM(CLEAN(('Raw Data'!C20))))</f>
        <v>CAMERA C100</v>
      </c>
      <c r="E20" s="10">
        <v>3</v>
      </c>
      <c r="F20" s="13">
        <v>175000</v>
      </c>
      <c r="G20" s="1" t="str">
        <f>PROPER(TRIM('Raw Data'!H20))</f>
        <v>Grace Amos</v>
      </c>
      <c r="H20" s="17" t="str">
        <f>PROPER(TRIM('Raw Data'!I20))</f>
        <v>Femi Tech</v>
      </c>
      <c r="I20" s="13">
        <f t="shared" si="0"/>
        <v>525000</v>
      </c>
    </row>
    <row r="21" spans="1:9" x14ac:dyDescent="0.35">
      <c r="A21" s="7" t="str">
        <f>TEXT(TRIM(UPPER(CLEAN('Raw Data'!A21))),"dd/mm/yyy")</f>
        <v>26/02/2025</v>
      </c>
      <c r="B21" s="24">
        <f>DATE(RIGHT(Table2[[#This Row],[Date]],4), MID(Table2[[#This Row],[Date]],4,2), LEFT(Table2[[#This Row],[Date]],2))</f>
        <v>45714</v>
      </c>
      <c r="C21" s="1" t="str">
        <f>PROPER(TRIM('Raw Data'!B21))</f>
        <v>North</v>
      </c>
      <c r="D21" s="1" t="str">
        <f>UPPER(TRIM(CLEAN(('Raw Data'!C21))))</f>
        <v>CAMERA C100</v>
      </c>
      <c r="E21" s="10">
        <v>5</v>
      </c>
      <c r="F21" s="13">
        <v>175000</v>
      </c>
      <c r="G21" s="1" t="str">
        <f>PROPER(TRIM('Raw Data'!H21))</f>
        <v>Chinedu Nwosu</v>
      </c>
      <c r="H21" s="17" t="str">
        <f>PROPER(TRIM('Raw Data'!I21))</f>
        <v>Femi Tech</v>
      </c>
      <c r="I21" s="13">
        <f t="shared" si="0"/>
        <v>875000</v>
      </c>
    </row>
    <row r="22" spans="1:9" x14ac:dyDescent="0.35">
      <c r="A22" s="7" t="str">
        <f>TEXT(TRIM(UPPER(CLEAN('Raw Data'!A22))),"dd/mm/yyy")</f>
        <v>06/04/2025</v>
      </c>
      <c r="B22" s="24">
        <f>DATE(RIGHT(Table2[[#This Row],[Date]],4), MID(Table2[[#This Row],[Date]],4,2), LEFT(Table2[[#This Row],[Date]],2))</f>
        <v>45753</v>
      </c>
      <c r="C22" s="1" t="str">
        <f>PROPER(TRIM('Raw Data'!B22))</f>
        <v>East</v>
      </c>
      <c r="D22" s="1" t="str">
        <f>UPPER(TRIM(CLEAN(('Raw Data'!C22))))</f>
        <v>LAPTOP A15</v>
      </c>
      <c r="E22" s="10">
        <v>20</v>
      </c>
      <c r="F22" s="13">
        <v>250000</v>
      </c>
      <c r="G22" s="1" t="str">
        <f>PROPER(TRIM('Raw Data'!H22))</f>
        <v>Grace Amos</v>
      </c>
      <c r="H22" s="17" t="str">
        <f>PROPER(TRIM('Raw Data'!I22))</f>
        <v>Musa Enterprises</v>
      </c>
      <c r="I22" s="13">
        <f t="shared" si="0"/>
        <v>5000000</v>
      </c>
    </row>
    <row r="23" spans="1:9" x14ac:dyDescent="0.35">
      <c r="A23" s="7" t="str">
        <f>TEXT(TRIM(UPPER(CLEAN('Raw Data'!A23))),"dd/mm/yyy")</f>
        <v>24/02/2025</v>
      </c>
      <c r="B23" s="24">
        <f>DATE(RIGHT(Table2[[#This Row],[Date]],4), MID(Table2[[#This Row],[Date]],4,2), LEFT(Table2[[#This Row],[Date]],2))</f>
        <v>45712</v>
      </c>
      <c r="C23" s="1" t="str">
        <f>PROPER(TRIM('Raw Data'!B23))</f>
        <v>East</v>
      </c>
      <c r="D23" s="1" t="str">
        <f>UPPER(TRIM(CLEAN(('Raw Data'!C23))))</f>
        <v>CAMERA C100</v>
      </c>
      <c r="E23" s="10">
        <v>2</v>
      </c>
      <c r="F23" s="13">
        <v>175000</v>
      </c>
      <c r="G23" s="1" t="str">
        <f>PROPER(TRIM('Raw Data'!H23))</f>
        <v>Peter Obi</v>
      </c>
      <c r="H23" s="17" t="str">
        <f>PROPER(TRIM('Raw Data'!I23))</f>
        <v>Emeka Traders</v>
      </c>
      <c r="I23" s="13">
        <f t="shared" si="0"/>
        <v>350000</v>
      </c>
    </row>
    <row r="24" spans="1:9" x14ac:dyDescent="0.35">
      <c r="A24" s="7" t="str">
        <f>TEXT(TRIM(UPPER(CLEAN('Raw Data'!A24))),"dd/mm/yyy")</f>
        <v>24/03/2025</v>
      </c>
      <c r="B24" s="24">
        <f>DATE(RIGHT(Table2[[#This Row],[Date]],4), MID(Table2[[#This Row],[Date]],4,2), LEFT(Table2[[#This Row],[Date]],2))</f>
        <v>45740</v>
      </c>
      <c r="C24" s="1" t="str">
        <f>PROPER(TRIM('Raw Data'!B24))</f>
        <v>East</v>
      </c>
      <c r="D24" s="1" t="str">
        <f>UPPER(TRIM(CLEAN(('Raw Data'!C24))))</f>
        <v>TABLET T8</v>
      </c>
      <c r="E24" s="10">
        <v>20</v>
      </c>
      <c r="F24" s="13">
        <v>150000</v>
      </c>
      <c r="G24" s="1" t="str">
        <f>PROPER(TRIM('Raw Data'!H24))</f>
        <v>Fola Balogun</v>
      </c>
      <c r="H24" s="17" t="str">
        <f>PROPER(TRIM('Raw Data'!I24))</f>
        <v>Maryam Ltd</v>
      </c>
      <c r="I24" s="13">
        <f t="shared" si="0"/>
        <v>3000000</v>
      </c>
    </row>
    <row r="25" spans="1:9" x14ac:dyDescent="0.35">
      <c r="A25" s="7" t="str">
        <f>TEXT(TRIM(UPPER(CLEAN('Raw Data'!A25))),"dd/mm/yyy")</f>
        <v>28/05/2025</v>
      </c>
      <c r="B25" s="24">
        <f>DATE(RIGHT(Table2[[#This Row],[Date]],4), MID(Table2[[#This Row],[Date]],4,2), LEFT(Table2[[#This Row],[Date]],2))</f>
        <v>45805</v>
      </c>
      <c r="C25" s="1" t="str">
        <f>PROPER(TRIM('Raw Data'!B25))</f>
        <v>North</v>
      </c>
      <c r="D25" s="1" t="str">
        <f>UPPER(TRIM(CLEAN(('Raw Data'!C25))))</f>
        <v>TABLET T8</v>
      </c>
      <c r="E25" s="10">
        <v>8</v>
      </c>
      <c r="F25" s="13">
        <v>150000</v>
      </c>
      <c r="G25" s="1" t="str">
        <f>PROPER(TRIM('Raw Data'!H25))</f>
        <v>Ifeanyi Okafor</v>
      </c>
      <c r="H25" s="17" t="str">
        <f>PROPER(TRIM('Raw Data'!I25))</f>
        <v>Omega Wholesale</v>
      </c>
      <c r="I25" s="13">
        <f t="shared" si="0"/>
        <v>1200000</v>
      </c>
    </row>
    <row r="26" spans="1:9" x14ac:dyDescent="0.35">
      <c r="A26" s="7" t="str">
        <f>TEXT(TRIM(UPPER(CLEAN('Raw Data'!A26))),"dd/mm/yyy")</f>
        <v>12/05/2025</v>
      </c>
      <c r="B26" s="24">
        <f>DATE(RIGHT(Table2[[#This Row],[Date]],4), MID(Table2[[#This Row],[Date]],4,2), LEFT(Table2[[#This Row],[Date]],2))</f>
        <v>45789</v>
      </c>
      <c r="C26" s="1" t="str">
        <f>PROPER(TRIM('Raw Data'!B26))</f>
        <v>West</v>
      </c>
      <c r="D26" s="1" t="str">
        <f>UPPER(TRIM(CLEAN(('Raw Data'!C26))))</f>
        <v>LAPTOP A15</v>
      </c>
      <c r="E26" s="10">
        <v>19</v>
      </c>
      <c r="F26" s="13">
        <v>250000</v>
      </c>
      <c r="G26" s="1" t="str">
        <f>PROPER(TRIM('Raw Data'!H26))</f>
        <v>Grace Amos</v>
      </c>
      <c r="H26" s="17" t="str">
        <f>PROPER(TRIM('Raw Data'!I26))</f>
        <v>Femi Tech</v>
      </c>
      <c r="I26" s="13">
        <f t="shared" si="0"/>
        <v>4750000</v>
      </c>
    </row>
    <row r="27" spans="1:9" x14ac:dyDescent="0.35">
      <c r="A27" s="7" t="str">
        <f>TEXT(TRIM(UPPER(CLEAN('Raw Data'!A27))),"dd/mm/yyy")</f>
        <v>11/05/2025</v>
      </c>
      <c r="B27" s="24">
        <f>DATE(RIGHT(Table2[[#This Row],[Date]],4), MID(Table2[[#This Row],[Date]],4,2), LEFT(Table2[[#This Row],[Date]],2))</f>
        <v>45788</v>
      </c>
      <c r="C27" s="1" t="str">
        <f>PROPER(TRIM('Raw Data'!B27))</f>
        <v>East</v>
      </c>
      <c r="D27" s="1" t="str">
        <f>UPPER(TRIM(CLEAN(('Raw Data'!C27))))</f>
        <v>CAMERA C010</v>
      </c>
      <c r="E27" s="10">
        <v>12</v>
      </c>
      <c r="F27" s="13">
        <v>175000</v>
      </c>
      <c r="G27" s="1" t="str">
        <f>PROPER(TRIM('Raw Data'!H27))</f>
        <v>Chinedu Nwosu</v>
      </c>
      <c r="H27" s="17" t="str">
        <f>PROPER(TRIM('Raw Data'!I27))</f>
        <v>Omega Wholesale</v>
      </c>
      <c r="I27" s="13">
        <f t="shared" si="0"/>
        <v>2100000</v>
      </c>
    </row>
    <row r="28" spans="1:9" x14ac:dyDescent="0.35">
      <c r="A28" s="7" t="str">
        <f>TEXT(TRIM(UPPER(CLEAN('Raw Data'!A28))),"dd/mm/yyy")</f>
        <v>16/01/2025</v>
      </c>
      <c r="B28" s="24">
        <f>DATE(RIGHT(Table2[[#This Row],[Date]],4), MID(Table2[[#This Row],[Date]],4,2), LEFT(Table2[[#This Row],[Date]],2))</f>
        <v>45673</v>
      </c>
      <c r="C28" s="1" t="str">
        <f>PROPER(TRIM('Raw Data'!B28))</f>
        <v>North</v>
      </c>
      <c r="D28" s="1" t="str">
        <f>UPPER(TRIM(CLEAN(('Raw Data'!C28))))</f>
        <v>SPEAKER S10</v>
      </c>
      <c r="E28" s="10">
        <v>11</v>
      </c>
      <c r="F28" s="13">
        <v>85000</v>
      </c>
      <c r="G28" s="1" t="str">
        <f>PROPER(TRIM('Raw Data'!H28))</f>
        <v>Grace Amos</v>
      </c>
      <c r="H28" s="17" t="str">
        <f>PROPER(TRIM('Raw Data'!I28))</f>
        <v>Femi Tech</v>
      </c>
      <c r="I28" s="13">
        <f t="shared" si="0"/>
        <v>935000</v>
      </c>
    </row>
    <row r="29" spans="1:9" x14ac:dyDescent="0.35">
      <c r="A29" s="7" t="str">
        <f>TEXT(TRIM(UPPER(CLEAN('Raw Data'!A29))),"dd/mm/yyy")</f>
        <v>10/05/2025</v>
      </c>
      <c r="B29" s="24">
        <f>DATE(RIGHT(Table2[[#This Row],[Date]],4), MID(Table2[[#This Row],[Date]],4,2), LEFT(Table2[[#This Row],[Date]],2))</f>
        <v>45787</v>
      </c>
      <c r="C29" s="1" t="str">
        <f>PROPER(TRIM('Raw Data'!B29))</f>
        <v>North</v>
      </c>
      <c r="D29" s="1" t="str">
        <f>UPPER(TRIM(CLEAN(('Raw Data'!C29))))</f>
        <v>MONITOR M24</v>
      </c>
      <c r="E29" s="10">
        <v>17</v>
      </c>
      <c r="F29" s="13">
        <v>65000</v>
      </c>
      <c r="G29" s="1" t="str">
        <f>PROPER(TRIM('Raw Data'!H29))</f>
        <v>Chinedu Nwosu</v>
      </c>
      <c r="H29" s="17" t="str">
        <f>PROPER(TRIM('Raw Data'!I29))</f>
        <v xml:space="preserve">Kelvin Tech	</v>
      </c>
      <c r="I29" s="13">
        <f t="shared" si="0"/>
        <v>1105000</v>
      </c>
    </row>
    <row r="30" spans="1:9" x14ac:dyDescent="0.35">
      <c r="A30" s="7" t="str">
        <f>TEXT(TRIM(UPPER(CLEAN('Raw Data'!A30))),"dd/mm/yyy")</f>
        <v>01/02/2025</v>
      </c>
      <c r="B30" s="24">
        <f>DATE(RIGHT(Table2[[#This Row],[Date]],4), MID(Table2[[#This Row],[Date]],4,2), LEFT(Table2[[#This Row],[Date]],2))</f>
        <v>45689</v>
      </c>
      <c r="C30" s="1" t="str">
        <f>PROPER(TRIM('Raw Data'!B30))</f>
        <v>South</v>
      </c>
      <c r="D30" s="1" t="str">
        <f>UPPER(TRIM(CLEAN(('Raw Data'!C30))))</f>
        <v>TV 43Q</v>
      </c>
      <c r="E30" s="10">
        <v>15</v>
      </c>
      <c r="F30" s="13">
        <v>350000</v>
      </c>
      <c r="G30" s="1" t="str">
        <f>PROPER(TRIM('Raw Data'!H30))</f>
        <v>Job Austin</v>
      </c>
      <c r="H30" s="17" t="str">
        <f>PROPER(TRIM('Raw Data'!I30))</f>
        <v>Zainab Global</v>
      </c>
      <c r="I30" s="13">
        <f t="shared" si="0"/>
        <v>5250000</v>
      </c>
    </row>
    <row r="31" spans="1:9" x14ac:dyDescent="0.35">
      <c r="A31" s="7" t="str">
        <f>TEXT(TRIM(UPPER(CLEAN('Raw Data'!A31))),"dd/mm/yyy")</f>
        <v>06/02/2025</v>
      </c>
      <c r="B31" s="24">
        <f>DATE(RIGHT(Table2[[#This Row],[Date]],4), MID(Table2[[#This Row],[Date]],4,2), LEFT(Table2[[#This Row],[Date]],2))</f>
        <v>45694</v>
      </c>
      <c r="C31" s="1" t="str">
        <f>PROPER(TRIM('Raw Data'!B31))</f>
        <v>West</v>
      </c>
      <c r="D31" s="1" t="str">
        <f>UPPER(TRIM(CLEAN(('Raw Data'!C31))))</f>
        <v>TV 43Q</v>
      </c>
      <c r="E31" s="10">
        <v>8</v>
      </c>
      <c r="F31" s="13">
        <v>350000</v>
      </c>
      <c r="G31" s="1" t="str">
        <f>PROPER(TRIM('Raw Data'!H31))</f>
        <v>Peter Obi</v>
      </c>
      <c r="H31" s="17" t="str">
        <f>PROPER(TRIM('Raw Data'!I31))</f>
        <v>Femi Tech</v>
      </c>
      <c r="I31" s="13">
        <f t="shared" si="0"/>
        <v>2800000</v>
      </c>
    </row>
    <row r="32" spans="1:9" x14ac:dyDescent="0.35">
      <c r="A32" s="7" t="str">
        <f>TEXT(TRIM(UPPER(CLEAN('Raw Data'!A32))),"dd/mm/yyy")</f>
        <v>17/06/2025</v>
      </c>
      <c r="B32" s="24">
        <f>DATE(RIGHT(Table2[[#This Row],[Date]],4), MID(Table2[[#This Row],[Date]],4,2), LEFT(Table2[[#This Row],[Date]],2))</f>
        <v>45825</v>
      </c>
      <c r="C32" s="1" t="str">
        <f>PROPER(TRIM('Raw Data'!B32))</f>
        <v>West</v>
      </c>
      <c r="D32" s="1" t="str">
        <f>UPPER(TRIM(CLEAN(('Raw Data'!C32))))</f>
        <v>TV 43Q</v>
      </c>
      <c r="E32" s="10">
        <v>14</v>
      </c>
      <c r="F32" s="13">
        <v>350000</v>
      </c>
      <c r="G32" s="1" t="str">
        <f>PROPER(TRIM('Raw Data'!H32))</f>
        <v>Chinedu Nwosu</v>
      </c>
      <c r="H32" s="17" t="str">
        <f>PROPER(TRIM('Raw Data'!I32))</f>
        <v>Tope &amp; Sons</v>
      </c>
      <c r="I32" s="13">
        <f t="shared" si="0"/>
        <v>4900000</v>
      </c>
    </row>
    <row r="33" spans="1:9" x14ac:dyDescent="0.35">
      <c r="A33" s="7" t="str">
        <f>TEXT(TRIM(UPPER(CLEAN('Raw Data'!A33))),"dd/mm/yyy")</f>
        <v>09/01/2025</v>
      </c>
      <c r="B33" s="24">
        <f>DATE(RIGHT(Table2[[#This Row],[Date]],4), MID(Table2[[#This Row],[Date]],4,2), LEFT(Table2[[#This Row],[Date]],2))</f>
        <v>45666</v>
      </c>
      <c r="C33" s="1" t="str">
        <f>PROPER(TRIM('Raw Data'!B33))</f>
        <v>East</v>
      </c>
      <c r="D33" s="1" t="str">
        <f>UPPER(TRIM(CLEAN(('Raw Data'!C33))))</f>
        <v>TABLET T8</v>
      </c>
      <c r="E33" s="10">
        <v>12</v>
      </c>
      <c r="F33" s="13">
        <v>150000</v>
      </c>
      <c r="G33" s="1" t="str">
        <f>PROPER(TRIM('Raw Data'!H33))</f>
        <v>Fola Balogun</v>
      </c>
      <c r="H33" s="17" t="str">
        <f>PROPER(TRIM('Raw Data'!I33))</f>
        <v>Alpha Retailers</v>
      </c>
      <c r="I33" s="13">
        <f t="shared" si="0"/>
        <v>1800000</v>
      </c>
    </row>
    <row r="34" spans="1:9" x14ac:dyDescent="0.35">
      <c r="A34" s="7" t="str">
        <f>TEXT(TRIM(UPPER(CLEAN('Raw Data'!A34))),"dd/mm/yyy")</f>
        <v>29/06/2025</v>
      </c>
      <c r="B34" s="24">
        <f>DATE(RIGHT(Table2[[#This Row],[Date]],4), MID(Table2[[#This Row],[Date]],4,2), LEFT(Table2[[#This Row],[Date]],2))</f>
        <v>45837</v>
      </c>
      <c r="C34" s="1" t="str">
        <f>PROPER(TRIM('Raw Data'!B34))</f>
        <v>North</v>
      </c>
      <c r="D34" s="1" t="str">
        <f>UPPER(TRIM(CLEAN(('Raw Data'!C34))))</f>
        <v>CAMERA C100</v>
      </c>
      <c r="E34" s="10">
        <v>8</v>
      </c>
      <c r="F34" s="13">
        <v>175000</v>
      </c>
      <c r="G34" s="1" t="str">
        <f>PROPER(TRIM('Raw Data'!H34))</f>
        <v>Peter Obi</v>
      </c>
      <c r="H34" s="17" t="str">
        <f>PROPER(TRIM('Raw Data'!I34))</f>
        <v>Alpha Retailers</v>
      </c>
      <c r="I34" s="13">
        <f t="shared" si="0"/>
        <v>1400000</v>
      </c>
    </row>
    <row r="35" spans="1:9" x14ac:dyDescent="0.35">
      <c r="A35" s="7" t="str">
        <f>TEXT(TRIM(UPPER(CLEAN('Raw Data'!A35))),"dd/mm/yyy")</f>
        <v>19/03/2025</v>
      </c>
      <c r="B35" s="24">
        <f>DATE(RIGHT(Table2[[#This Row],[Date]],4), MID(Table2[[#This Row],[Date]],4,2), LEFT(Table2[[#This Row],[Date]],2))</f>
        <v>45735</v>
      </c>
      <c r="C35" s="1" t="str">
        <f>PROPER(TRIM('Raw Data'!B35))</f>
        <v>South</v>
      </c>
      <c r="D35" s="1" t="str">
        <f>UPPER(TRIM(CLEAN(('Raw Data'!C35))))</f>
        <v>TABLET T8</v>
      </c>
      <c r="E35" s="10">
        <v>6</v>
      </c>
      <c r="F35" s="13">
        <v>150000</v>
      </c>
      <c r="G35" s="1" t="str">
        <f>PROPER(TRIM('Raw Data'!H35))</f>
        <v>Peter Obi</v>
      </c>
      <c r="H35" s="17" t="str">
        <f>PROPER(TRIM('Raw Data'!I35))</f>
        <v>Femi Tech</v>
      </c>
      <c r="I35" s="13">
        <f t="shared" si="0"/>
        <v>900000</v>
      </c>
    </row>
    <row r="36" spans="1:9" x14ac:dyDescent="0.35">
      <c r="A36" s="7" t="str">
        <f>TEXT(TRIM(UPPER(CLEAN('Raw Data'!A36))),"dd/mm/yyy")</f>
        <v>06/02/2025</v>
      </c>
      <c r="B36" s="24">
        <f>DATE(RIGHT(Table2[[#This Row],[Date]],4), MID(Table2[[#This Row],[Date]],4,2), LEFT(Table2[[#This Row],[Date]],2))</f>
        <v>45694</v>
      </c>
      <c r="C36" s="1" t="str">
        <f>PROPER(TRIM('Raw Data'!B36))</f>
        <v>West</v>
      </c>
      <c r="D36" s="1" t="str">
        <f>UPPER(TRIM(CLEAN(('Raw Data'!C36))))</f>
        <v>LAPTOP A15</v>
      </c>
      <c r="E36" s="10">
        <v>20</v>
      </c>
      <c r="F36" s="13">
        <v>2500000</v>
      </c>
      <c r="G36" s="1" t="str">
        <f>PROPER(TRIM('Raw Data'!H36))</f>
        <v>Peter Obi</v>
      </c>
      <c r="H36" s="17" t="str">
        <f>PROPER(TRIM('Raw Data'!I36))</f>
        <v>Omega Wholesale</v>
      </c>
      <c r="I36" s="13">
        <f t="shared" si="0"/>
        <v>50000000</v>
      </c>
    </row>
    <row r="37" spans="1:9" x14ac:dyDescent="0.35">
      <c r="A37" s="7" t="str">
        <f>TEXT(TRIM(UPPER(CLEAN('Raw Data'!A37))),"dd/mm/yyy")</f>
        <v>06/04/2025</v>
      </c>
      <c r="B37" s="24">
        <f>DATE(RIGHT(Table2[[#This Row],[Date]],4), MID(Table2[[#This Row],[Date]],4,2), LEFT(Table2[[#This Row],[Date]],2))</f>
        <v>45753</v>
      </c>
      <c r="C37" s="1" t="str">
        <f>PROPER(TRIM('Raw Data'!B37))</f>
        <v>South</v>
      </c>
      <c r="D37" s="1" t="str">
        <f>UPPER(TRIM(CLEAN(('Raw Data'!C37))))</f>
        <v>MONITOR M24</v>
      </c>
      <c r="E37" s="10">
        <v>12</v>
      </c>
      <c r="F37" s="13">
        <v>65000</v>
      </c>
      <c r="G37" s="1" t="str">
        <f>PROPER(TRIM('Raw Data'!H37))</f>
        <v>Peter Obi</v>
      </c>
      <c r="H37" s="17" t="str">
        <f>PROPER(TRIM('Raw Data'!I37))</f>
        <v>Maryam Ltd</v>
      </c>
      <c r="I37" s="13">
        <f t="shared" si="0"/>
        <v>780000</v>
      </c>
    </row>
    <row r="38" spans="1:9" x14ac:dyDescent="0.35">
      <c r="A38" s="7" t="str">
        <f>TEXT(TRIM(UPPER(CLEAN('Raw Data'!A38))),"dd/mm/yyy")</f>
        <v>07/02/2025</v>
      </c>
      <c r="B38" s="24">
        <f>DATE(RIGHT(Table2[[#This Row],[Date]],4), MID(Table2[[#This Row],[Date]],4,2), LEFT(Table2[[#This Row],[Date]],2))</f>
        <v>45695</v>
      </c>
      <c r="C38" s="1" t="str">
        <f>PROPER(TRIM('Raw Data'!B38))</f>
        <v>South</v>
      </c>
      <c r="D38" s="1" t="str">
        <f>UPPER(TRIM(CLEAN(('Raw Data'!C38))))</f>
        <v>MONITOR M24</v>
      </c>
      <c r="E38" s="10">
        <v>4</v>
      </c>
      <c r="F38" s="13">
        <v>73740</v>
      </c>
      <c r="G38" s="1" t="str">
        <f>PROPER(TRIM('Raw Data'!H38))</f>
        <v>Mary John</v>
      </c>
      <c r="H38" s="17" t="str">
        <f>PROPER(TRIM('Raw Data'!I38))</f>
        <v>Tope &amp; Sons</v>
      </c>
      <c r="I38" s="13">
        <f t="shared" si="0"/>
        <v>294960</v>
      </c>
    </row>
    <row r="39" spans="1:9" x14ac:dyDescent="0.35">
      <c r="A39" s="7" t="str">
        <f>TEXT(TRIM(UPPER(CLEAN('Raw Data'!A39))),"dd/mm/yyy")</f>
        <v>07/03/2025</v>
      </c>
      <c r="B39" s="24">
        <f>DATE(RIGHT(Table2[[#This Row],[Date]],4), MID(Table2[[#This Row],[Date]],4,2), LEFT(Table2[[#This Row],[Date]],2))</f>
        <v>45723</v>
      </c>
      <c r="C39" s="1" t="str">
        <f>PROPER(TRIM('Raw Data'!B39))</f>
        <v>East</v>
      </c>
      <c r="D39" s="1" t="str">
        <f>UPPER(TRIM(CLEAN(('Raw Data'!C39))))</f>
        <v>CAMERA C100</v>
      </c>
      <c r="E39" s="10">
        <v>18</v>
      </c>
      <c r="F39" s="13">
        <v>175000</v>
      </c>
      <c r="G39" s="1" t="str">
        <f>PROPER(TRIM('Raw Data'!H39))</f>
        <v>Grace Amos</v>
      </c>
      <c r="H39" s="17" t="str">
        <f>PROPER(TRIM('Raw Data'!I39))</f>
        <v>Bright Solutions</v>
      </c>
      <c r="I39" s="13">
        <f t="shared" si="0"/>
        <v>3150000</v>
      </c>
    </row>
    <row r="40" spans="1:9" x14ac:dyDescent="0.35">
      <c r="A40" s="7" t="str">
        <f>TEXT(TRIM(UPPER(CLEAN('Raw Data'!A40))),"dd/mm/yyy")</f>
        <v>07/05/2025</v>
      </c>
      <c r="B40" s="24">
        <f>DATE(RIGHT(Table2[[#This Row],[Date]],4), MID(Table2[[#This Row],[Date]],4,2), LEFT(Table2[[#This Row],[Date]],2))</f>
        <v>45784</v>
      </c>
      <c r="C40" s="1" t="str">
        <f>PROPER(TRIM('Raw Data'!B40))</f>
        <v>North</v>
      </c>
      <c r="D40" s="1" t="str">
        <f>UPPER(TRIM(CLEAN(('Raw Data'!C40))))</f>
        <v>PHONE X12</v>
      </c>
      <c r="E40" s="10">
        <v>10</v>
      </c>
      <c r="F40" s="13">
        <v>180000</v>
      </c>
      <c r="G40" s="1" t="str">
        <f>PROPER(TRIM('Raw Data'!H40))</f>
        <v>Mary John</v>
      </c>
      <c r="H40" s="17" t="str">
        <f>PROPER(TRIM('Raw Data'!I40))</f>
        <v>Chika Mart</v>
      </c>
      <c r="I40" s="13">
        <f t="shared" si="0"/>
        <v>1800000</v>
      </c>
    </row>
    <row r="41" spans="1:9" x14ac:dyDescent="0.35">
      <c r="A41" s="7" t="str">
        <f>TEXT(TRIM(UPPER(CLEAN('Raw Data'!A41))),"dd/mm/yyy")</f>
        <v>30/06/2025</v>
      </c>
      <c r="B41" s="24">
        <f>DATE(RIGHT(Table2[[#This Row],[Date]],4), MID(Table2[[#This Row],[Date]],4,2), LEFT(Table2[[#This Row],[Date]],2))</f>
        <v>45838</v>
      </c>
      <c r="C41" s="1" t="str">
        <f>PROPER(TRIM('Raw Data'!B41))</f>
        <v>East</v>
      </c>
      <c r="D41" s="1" t="str">
        <f>UPPER(TRIM(CLEAN(('Raw Data'!C41))))</f>
        <v>UNKNOWN</v>
      </c>
      <c r="E41" s="10">
        <v>10</v>
      </c>
      <c r="F41" s="13">
        <v>65000</v>
      </c>
      <c r="G41" s="1" t="str">
        <f>PROPER(TRIM('Raw Data'!H41))</f>
        <v>Aba Joel</v>
      </c>
      <c r="H41" s="17" t="str">
        <f>PROPER(TRIM('Raw Data'!I41))</f>
        <v>Musa Enterprises</v>
      </c>
      <c r="I41" s="13">
        <f t="shared" si="0"/>
        <v>650000</v>
      </c>
    </row>
    <row r="42" spans="1:9" x14ac:dyDescent="0.35">
      <c r="A42" s="7" t="str">
        <f>TEXT(TRIM(UPPER(CLEAN('Raw Data'!A42))),"dd/mm/yyy")</f>
        <v>25/02/2025</v>
      </c>
      <c r="B42" s="24">
        <f>DATE(RIGHT(Table2[[#This Row],[Date]],4), MID(Table2[[#This Row],[Date]],4,2), LEFT(Table2[[#This Row],[Date]],2))</f>
        <v>45713</v>
      </c>
      <c r="C42" s="1" t="str">
        <f>PROPER(TRIM('Raw Data'!B42))</f>
        <v>North</v>
      </c>
      <c r="D42" s="1" t="str">
        <f>UPPER(TRIM(CLEAN(('Raw Data'!C42))))</f>
        <v>TABLET T8</v>
      </c>
      <c r="E42" s="10">
        <v>3</v>
      </c>
      <c r="F42" s="13">
        <v>150000</v>
      </c>
      <c r="G42" s="1" t="str">
        <f>PROPER(TRIM('Raw Data'!H42))</f>
        <v xml:space="preserve">Mary John 	</v>
      </c>
      <c r="H42" s="17" t="str">
        <f>PROPER(TRIM('Raw Data'!I42))</f>
        <v>Tope &amp; Sons</v>
      </c>
      <c r="I42" s="13">
        <f t="shared" si="0"/>
        <v>450000</v>
      </c>
    </row>
    <row r="43" spans="1:9" x14ac:dyDescent="0.35">
      <c r="A43" s="7" t="str">
        <f>TEXT(TRIM(UPPER(CLEAN('Raw Data'!A43))),"dd/mm/yyy")</f>
        <v>13/01/2025</v>
      </c>
      <c r="B43" s="24">
        <f>DATE(RIGHT(Table2[[#This Row],[Date]],4), MID(Table2[[#This Row],[Date]],4,2), LEFT(Table2[[#This Row],[Date]],2))</f>
        <v>45670</v>
      </c>
      <c r="C43" s="1" t="str">
        <f>PROPER(TRIM('Raw Data'!B43))</f>
        <v>South</v>
      </c>
      <c r="D43" s="1" t="str">
        <f>UPPER(TRIM(CLEAN(('Raw Data'!C43))))</f>
        <v>PHONE X12</v>
      </c>
      <c r="E43" s="10">
        <v>8</v>
      </c>
      <c r="F43" s="13">
        <v>180000</v>
      </c>
      <c r="G43" s="1" t="str">
        <f>PROPER(TRIM('Raw Data'!H43))</f>
        <v>Aisha Bello</v>
      </c>
      <c r="H43" s="17" t="str">
        <f>PROPER(TRIM('Raw Data'!I43))</f>
        <v>Omega Wholesale</v>
      </c>
      <c r="I43" s="13">
        <f t="shared" si="0"/>
        <v>1440000</v>
      </c>
    </row>
    <row r="44" spans="1:9" x14ac:dyDescent="0.35">
      <c r="A44" s="7" t="str">
        <f>TEXT(TRIM(UPPER(CLEAN('Raw Data'!A44))),"dd/mm/yyy")</f>
        <v>15/06/2025</v>
      </c>
      <c r="B44" s="24">
        <f>DATE(RIGHT(Table2[[#This Row],[Date]],4), MID(Table2[[#This Row],[Date]],4,2), LEFT(Table2[[#This Row],[Date]],2))</f>
        <v>45823</v>
      </c>
      <c r="C44" s="1" t="str">
        <f>PROPER(TRIM('Raw Data'!B44))</f>
        <v>South</v>
      </c>
      <c r="D44" s="1" t="str">
        <f>UPPER(TRIM(CLEAN(('Raw Data'!C44))))</f>
        <v>LAPTOP A15</v>
      </c>
      <c r="E44" s="10">
        <v>3</v>
      </c>
      <c r="F44" s="13">
        <v>250000</v>
      </c>
      <c r="G44" s="1" t="str">
        <f>PROPER(TRIM('Raw Data'!H44))</f>
        <v>Mary John</v>
      </c>
      <c r="H44" s="17" t="str">
        <f>PROPER(TRIM('Raw Data'!I44))</f>
        <v>Chika Mart</v>
      </c>
      <c r="I44" s="13">
        <f t="shared" si="0"/>
        <v>750000</v>
      </c>
    </row>
    <row r="45" spans="1:9" x14ac:dyDescent="0.35">
      <c r="A45" s="7" t="str">
        <f>TEXT(TRIM(UPPER(CLEAN('Raw Data'!A45))),"dd/mm/yyy")</f>
        <v>28/02/2025</v>
      </c>
      <c r="B45" s="24">
        <f>DATE(RIGHT(Table2[[#This Row],[Date]],4), MID(Table2[[#This Row],[Date]],4,2), LEFT(Table2[[#This Row],[Date]],2))</f>
        <v>45716</v>
      </c>
      <c r="C45" s="1" t="str">
        <f>PROPER(TRIM('Raw Data'!B45))</f>
        <v>East</v>
      </c>
      <c r="D45" s="1" t="str">
        <f>UPPER(TRIM(CLEAN(('Raw Data'!C45))))</f>
        <v>SPEAKER S10</v>
      </c>
      <c r="E45" s="10">
        <v>18</v>
      </c>
      <c r="F45" s="13">
        <v>85000</v>
      </c>
      <c r="G45" s="1" t="str">
        <f>PROPER(TRIM('Raw Data'!H45))</f>
        <v>Ifeanyi Okafor</v>
      </c>
      <c r="H45" s="17" t="str">
        <f>PROPER(TRIM('Raw Data'!I45))</f>
        <v>Alpha Retailers</v>
      </c>
      <c r="I45" s="13">
        <f t="shared" si="0"/>
        <v>1530000</v>
      </c>
    </row>
    <row r="46" spans="1:9" x14ac:dyDescent="0.35">
      <c r="A46" s="7" t="str">
        <f>TEXT(TRIM(UPPER(CLEAN('Raw Data'!A46))),"dd/mm/yyy")</f>
        <v>19/02/2025</v>
      </c>
      <c r="B46" s="24">
        <f>DATE(RIGHT(Table2[[#This Row],[Date]],4), MID(Table2[[#This Row],[Date]],4,2), LEFT(Table2[[#This Row],[Date]],2))</f>
        <v>45707</v>
      </c>
      <c r="C46" s="1" t="str">
        <f>PROPER(TRIM('Raw Data'!B46))</f>
        <v>West</v>
      </c>
      <c r="D46" s="1" t="str">
        <f>UPPER(TRIM(CLEAN(('Raw Data'!C46))))</f>
        <v>TABLET T8</v>
      </c>
      <c r="E46" s="10">
        <v>9</v>
      </c>
      <c r="F46" s="13">
        <v>150000</v>
      </c>
      <c r="G46" s="1" t="str">
        <f>PROPER(TRIM('Raw Data'!H46))</f>
        <v>Mary John</v>
      </c>
      <c r="H46" s="17" t="str">
        <f>PROPER(TRIM('Raw Data'!I46))</f>
        <v>Kelvin Tech</v>
      </c>
      <c r="I46" s="13">
        <f t="shared" si="0"/>
        <v>1350000</v>
      </c>
    </row>
    <row r="47" spans="1:9" x14ac:dyDescent="0.35">
      <c r="A47" s="7" t="str">
        <f>TEXT(TRIM(UPPER(CLEAN('Raw Data'!A47))),"dd/mm/yyy")</f>
        <v>03/03/2025</v>
      </c>
      <c r="B47" s="24">
        <f>DATE(RIGHT(Table2[[#This Row],[Date]],4), MID(Table2[[#This Row],[Date]],4,2), LEFT(Table2[[#This Row],[Date]],2))</f>
        <v>45719</v>
      </c>
      <c r="C47" s="1" t="str">
        <f>PROPER(TRIM('Raw Data'!B47))</f>
        <v>East</v>
      </c>
      <c r="D47" s="1" t="str">
        <f>UPPER(TRIM(CLEAN(('Raw Data'!C47))))</f>
        <v>TABLET T8</v>
      </c>
      <c r="E47" s="10">
        <v>18</v>
      </c>
      <c r="F47" s="13">
        <v>150000</v>
      </c>
      <c r="G47" s="1" t="str">
        <f>PROPER(TRIM('Raw Data'!H47))</f>
        <v>Fola Balogun</v>
      </c>
      <c r="H47" s="17" t="str">
        <f>PROPER(TRIM('Raw Data'!I47))</f>
        <v xml:space="preserve">Alpha Retailers	</v>
      </c>
      <c r="I47" s="13">
        <f t="shared" si="0"/>
        <v>2700000</v>
      </c>
    </row>
    <row r="48" spans="1:9" x14ac:dyDescent="0.35">
      <c r="A48" s="7" t="str">
        <f>TEXT(TRIM(UPPER(CLEAN('Raw Data'!A48))),"dd/mm/yyy")</f>
        <v>01/04/2025</v>
      </c>
      <c r="B48" s="24">
        <f>DATE(RIGHT(Table2[[#This Row],[Date]],4), MID(Table2[[#This Row],[Date]],4,2), LEFT(Table2[[#This Row],[Date]],2))</f>
        <v>45748</v>
      </c>
      <c r="C48" s="1" t="str">
        <f>PROPER(TRIM('Raw Data'!B48))</f>
        <v>West</v>
      </c>
      <c r="D48" s="1" t="str">
        <f>UPPER(TRIM(CLEAN(('Raw Data'!C48))))</f>
        <v>TABLET T8</v>
      </c>
      <c r="E48" s="10">
        <v>11</v>
      </c>
      <c r="F48" s="13">
        <v>150000</v>
      </c>
      <c r="G48" s="1" t="str">
        <f>PROPER(TRIM('Raw Data'!H48))</f>
        <v>Mary John</v>
      </c>
      <c r="H48" s="17" t="str">
        <f>PROPER(TRIM('Raw Data'!I48))</f>
        <v>Chika Mart</v>
      </c>
      <c r="I48" s="13">
        <f t="shared" si="0"/>
        <v>1650000</v>
      </c>
    </row>
    <row r="49" spans="1:9" x14ac:dyDescent="0.35">
      <c r="A49" s="7" t="str">
        <f>TEXT(TRIM(UPPER(CLEAN('Raw Data'!A49))),"dd/mm/yyy")</f>
        <v>07/04/2025</v>
      </c>
      <c r="B49" s="24">
        <f>DATE(RIGHT(Table2[[#This Row],[Date]],4), MID(Table2[[#This Row],[Date]],4,2), LEFT(Table2[[#This Row],[Date]],2))</f>
        <v>45754</v>
      </c>
      <c r="C49" s="1" t="str">
        <f>PROPER(TRIM('Raw Data'!B49))</f>
        <v>South</v>
      </c>
      <c r="D49" s="1" t="str">
        <f>UPPER(TRIM(CLEAN(('Raw Data'!C49))))</f>
        <v>TV 43Q</v>
      </c>
      <c r="E49" s="10">
        <v>4</v>
      </c>
      <c r="F49" s="13">
        <v>350000</v>
      </c>
      <c r="G49" s="1" t="str">
        <f>PROPER(TRIM('Raw Data'!H49))</f>
        <v>Grace Amos</v>
      </c>
      <c r="H49" s="17" t="str">
        <f>PROPER(TRIM('Raw Data'!I49))</f>
        <v>Jide Superstores</v>
      </c>
      <c r="I49" s="13">
        <f t="shared" si="0"/>
        <v>1400000</v>
      </c>
    </row>
    <row r="50" spans="1:9" x14ac:dyDescent="0.35">
      <c r="A50" s="7" t="str">
        <f>TEXT(TRIM(UPPER(CLEAN('Raw Data'!A50))),"dd/mm/yyy")</f>
        <v>26/02/2025</v>
      </c>
      <c r="B50" s="24">
        <f>DATE(RIGHT(Table2[[#This Row],[Date]],4), MID(Table2[[#This Row],[Date]],4,2), LEFT(Table2[[#This Row],[Date]],2))</f>
        <v>45714</v>
      </c>
      <c r="C50" s="1" t="str">
        <f>PROPER(TRIM('Raw Data'!B50))</f>
        <v>South</v>
      </c>
      <c r="D50" s="1" t="str">
        <f>UPPER(TRIM(CLEAN(('Raw Data'!C50))))</f>
        <v>TABLET T8</v>
      </c>
      <c r="E50" s="10">
        <v>19</v>
      </c>
      <c r="F50" s="13">
        <v>150000</v>
      </c>
      <c r="G50" s="1" t="str">
        <f>PROPER(TRIM('Raw Data'!H50))</f>
        <v>Praise Odunayo</v>
      </c>
      <c r="H50" s="17" t="str">
        <f>PROPER(TRIM('Raw Data'!I50))</f>
        <v>Kelvin Tech</v>
      </c>
      <c r="I50" s="13">
        <f t="shared" si="0"/>
        <v>2850000</v>
      </c>
    </row>
    <row r="51" spans="1:9" x14ac:dyDescent="0.35">
      <c r="A51" s="7" t="str">
        <f>TEXT(TRIM(UPPER(CLEAN('Raw Data'!A51))),"dd/mm/yyy")</f>
        <v>01/06/2025</v>
      </c>
      <c r="B51" s="24">
        <f>DATE(RIGHT(Table2[[#This Row],[Date]],4), MID(Table2[[#This Row],[Date]],4,2), LEFT(Table2[[#This Row],[Date]],2))</f>
        <v>45809</v>
      </c>
      <c r="C51" s="1" t="str">
        <f>PROPER(TRIM('Raw Data'!B51))</f>
        <v>East</v>
      </c>
      <c r="D51" s="1" t="str">
        <f>UPPER(TRIM(CLEAN(('Raw Data'!C51))))</f>
        <v>SPEAKER S10</v>
      </c>
      <c r="E51" s="10">
        <v>7</v>
      </c>
      <c r="F51" s="13">
        <v>85000</v>
      </c>
      <c r="G51" s="1" t="str">
        <f>PROPER(TRIM('Raw Data'!H51))</f>
        <v>Aisha Bello</v>
      </c>
      <c r="H51" s="17" t="str">
        <f>PROPER(TRIM('Raw Data'!I51))</f>
        <v>Bright Solutions</v>
      </c>
      <c r="I51" s="13">
        <f t="shared" si="0"/>
        <v>595000</v>
      </c>
    </row>
    <row r="52" spans="1:9" x14ac:dyDescent="0.35">
      <c r="A52" s="7" t="str">
        <f>TEXT(TRIM(UPPER(CLEAN('Raw Data'!A52))),"dd/mm/yyy")</f>
        <v>14/01/2025</v>
      </c>
      <c r="B52" s="24">
        <f>DATE(RIGHT(Table2[[#This Row],[Date]],4), MID(Table2[[#This Row],[Date]],4,2), LEFT(Table2[[#This Row],[Date]],2))</f>
        <v>45671</v>
      </c>
      <c r="C52" s="1" t="str">
        <f>PROPER(TRIM('Raw Data'!B52))</f>
        <v>West</v>
      </c>
      <c r="D52" s="1" t="str">
        <f>UPPER(TRIM(CLEAN(('Raw Data'!C52))))</f>
        <v>MONITOR M24</v>
      </c>
      <c r="E52" s="10">
        <v>13</v>
      </c>
      <c r="F52" s="13">
        <v>57912</v>
      </c>
      <c r="G52" s="1" t="str">
        <f>PROPER(TRIM('Raw Data'!H52))</f>
        <v>Fola Balogun</v>
      </c>
      <c r="H52" s="17" t="str">
        <f>PROPER(TRIM('Raw Data'!I52))</f>
        <v>Femi Tech</v>
      </c>
      <c r="I52" s="13">
        <f t="shared" si="0"/>
        <v>752856</v>
      </c>
    </row>
    <row r="53" spans="1:9" x14ac:dyDescent="0.35">
      <c r="A53" s="7" t="str">
        <f>TEXT(TRIM(UPPER(CLEAN('Raw Data'!A53))),"dd/mm/yyy")</f>
        <v>22/02/2025</v>
      </c>
      <c r="B53" s="24">
        <f>DATE(RIGHT(Table2[[#This Row],[Date]],4), MID(Table2[[#This Row],[Date]],4,2), LEFT(Table2[[#This Row],[Date]],2))</f>
        <v>45710</v>
      </c>
      <c r="C53" s="1" t="str">
        <f>PROPER(TRIM('Raw Data'!B53))</f>
        <v>East</v>
      </c>
      <c r="D53" s="1" t="str">
        <f>UPPER(TRIM(CLEAN(('Raw Data'!C53))))</f>
        <v>MONITOR M24</v>
      </c>
      <c r="E53" s="10">
        <v>18</v>
      </c>
      <c r="F53" s="13">
        <v>650000</v>
      </c>
      <c r="G53" s="1" t="str">
        <f>PROPER(TRIM('Raw Data'!H53))</f>
        <v>Grace Amos</v>
      </c>
      <c r="H53" s="17" t="str">
        <f>PROPER(TRIM('Raw Data'!I53))</f>
        <v>Jide Superstores</v>
      </c>
      <c r="I53" s="13">
        <f t="shared" si="0"/>
        <v>11700000</v>
      </c>
    </row>
    <row r="54" spans="1:9" x14ac:dyDescent="0.35">
      <c r="A54" s="7" t="str">
        <f>TEXT(TRIM(UPPER(CLEAN('Raw Data'!A54))),"dd/mm/yyy")</f>
        <v>24/04/2025</v>
      </c>
      <c r="B54" s="24">
        <f>DATE(RIGHT(Table2[[#This Row],[Date]],4), MID(Table2[[#This Row],[Date]],4,2), LEFT(Table2[[#This Row],[Date]],2))</f>
        <v>45771</v>
      </c>
      <c r="C54" s="1" t="str">
        <f>PROPER(TRIM('Raw Data'!B54))</f>
        <v>West</v>
      </c>
      <c r="D54" s="1" t="str">
        <f>UPPER(TRIM(CLEAN(('Raw Data'!C54))))</f>
        <v>MONITOR M24</v>
      </c>
      <c r="E54" s="10">
        <v>5</v>
      </c>
      <c r="F54" s="13">
        <v>65000</v>
      </c>
      <c r="G54" s="1" t="str">
        <f>PROPER(TRIM('Raw Data'!H54))</f>
        <v>Aisha Bello</v>
      </c>
      <c r="H54" s="17" t="str">
        <f>PROPER(TRIM('Raw Data'!I54))</f>
        <v>Kelvin Tech</v>
      </c>
      <c r="I54" s="13">
        <f t="shared" si="0"/>
        <v>325000</v>
      </c>
    </row>
    <row r="55" spans="1:9" x14ac:dyDescent="0.35">
      <c r="A55" s="7" t="str">
        <f>TEXT(TRIM(UPPER(CLEAN('Raw Data'!A55))),"dd/mm/yyy")</f>
        <v>27/01/2025</v>
      </c>
      <c r="B55" s="24">
        <f>DATE(RIGHT(Table2[[#This Row],[Date]],4), MID(Table2[[#This Row],[Date]],4,2), LEFT(Table2[[#This Row],[Date]],2))</f>
        <v>45684</v>
      </c>
      <c r="C55" s="1" t="str">
        <f>PROPER(TRIM('Raw Data'!B55))</f>
        <v>South</v>
      </c>
      <c r="D55" s="1" t="str">
        <f>UPPER(TRIM(CLEAN(('Raw Data'!C55))))</f>
        <v>TV 43Q</v>
      </c>
      <c r="E55" s="10">
        <v>13</v>
      </c>
      <c r="F55" s="13">
        <v>350000</v>
      </c>
      <c r="G55" s="1" t="str">
        <f>PROPER(TRIM('Raw Data'!H55))</f>
        <v>Chinedu Nwosu</v>
      </c>
      <c r="H55" s="17" t="str">
        <f>PROPER(TRIM('Raw Data'!I55))</f>
        <v>Femi Tech</v>
      </c>
      <c r="I55" s="13">
        <f t="shared" si="0"/>
        <v>4550000</v>
      </c>
    </row>
    <row r="56" spans="1:9" x14ac:dyDescent="0.35">
      <c r="A56" s="7" t="str">
        <f>TEXT(TRIM(UPPER(CLEAN('Raw Data'!A56))),"dd/mm/yyy")</f>
        <v>04/01/2025</v>
      </c>
      <c r="B56" s="24">
        <f>DATE(RIGHT(Table2[[#This Row],[Date]],4), MID(Table2[[#This Row],[Date]],4,2), LEFT(Table2[[#This Row],[Date]],2))</f>
        <v>45661</v>
      </c>
      <c r="C56" s="1" t="str">
        <f>PROPER(TRIM('Raw Data'!B56))</f>
        <v>West</v>
      </c>
      <c r="D56" s="1" t="str">
        <f>UPPER(TRIM(CLEAN(('Raw Data'!C56))))</f>
        <v>TV 43Q</v>
      </c>
      <c r="E56" s="10">
        <v>19</v>
      </c>
      <c r="F56" s="13">
        <v>350000</v>
      </c>
      <c r="G56" s="1" t="str">
        <f>PROPER(TRIM('Raw Data'!H56))</f>
        <v>Ifeanyi Okafor</v>
      </c>
      <c r="H56" s="17" t="str">
        <f>PROPER(TRIM('Raw Data'!I56))</f>
        <v>Jide Superstores</v>
      </c>
      <c r="I56" s="13">
        <f t="shared" si="0"/>
        <v>6650000</v>
      </c>
    </row>
    <row r="57" spans="1:9" x14ac:dyDescent="0.35">
      <c r="A57" s="7" t="str">
        <f>TEXT(TRIM(UPPER(CLEAN('Raw Data'!A57))),"dd/mm/yyy")</f>
        <v>08/03/2025</v>
      </c>
      <c r="B57" s="24">
        <f>DATE(RIGHT(Table2[[#This Row],[Date]],4), MID(Table2[[#This Row],[Date]],4,2), LEFT(Table2[[#This Row],[Date]],2))</f>
        <v>45724</v>
      </c>
      <c r="C57" s="1" t="str">
        <f>PROPER(TRIM('Raw Data'!B57))</f>
        <v>North</v>
      </c>
      <c r="D57" s="1" t="str">
        <f>UPPER(TRIM(CLEAN(('Raw Data'!C57))))</f>
        <v>PHONE X12</v>
      </c>
      <c r="E57" s="10">
        <v>9</v>
      </c>
      <c r="F57" s="13">
        <v>180000</v>
      </c>
      <c r="G57" s="1" t="str">
        <f>PROPER(TRIM('Raw Data'!H57))</f>
        <v>Aisha Bello</v>
      </c>
      <c r="H57" s="17" t="str">
        <f>PROPER(TRIM('Raw Data'!I57))</f>
        <v>Adewale Stores</v>
      </c>
      <c r="I57" s="13">
        <f t="shared" si="0"/>
        <v>1620000</v>
      </c>
    </row>
    <row r="58" spans="1:9" x14ac:dyDescent="0.35">
      <c r="A58" s="7" t="str">
        <f>TEXT(TRIM(UPPER(CLEAN('Raw Data'!A58))),"dd/mm/yyy")</f>
        <v>23/01/2025</v>
      </c>
      <c r="B58" s="24">
        <f>DATE(RIGHT(Table2[[#This Row],[Date]],4), MID(Table2[[#This Row],[Date]],4,2), LEFT(Table2[[#This Row],[Date]],2))</f>
        <v>45680</v>
      </c>
      <c r="C58" s="1" t="str">
        <f>PROPER(TRIM('Raw Data'!B58))</f>
        <v>East</v>
      </c>
      <c r="D58" s="1" t="str">
        <f>UPPER(TRIM(CLEAN(('Raw Data'!C58))))</f>
        <v>TABLET T8</v>
      </c>
      <c r="E58" s="10">
        <v>10</v>
      </c>
      <c r="F58" s="13">
        <v>150000</v>
      </c>
      <c r="G58" s="1" t="str">
        <f>PROPER(TRIM('Raw Data'!H58))</f>
        <v>Chinedu Nwosu</v>
      </c>
      <c r="H58" s="17" t="str">
        <f>PROPER(TRIM('Raw Data'!I58))</f>
        <v>Maryam Ltd</v>
      </c>
      <c r="I58" s="13">
        <f t="shared" si="0"/>
        <v>1500000</v>
      </c>
    </row>
    <row r="59" spans="1:9" x14ac:dyDescent="0.35">
      <c r="A59" s="7" t="str">
        <f>TEXT(TRIM(UPPER(CLEAN('Raw Data'!A59))),"dd/mm/yyy")</f>
        <v>16/01/2025</v>
      </c>
      <c r="B59" s="24">
        <f>DATE(RIGHT(Table2[[#This Row],[Date]],4), MID(Table2[[#This Row],[Date]],4,2), LEFT(Table2[[#This Row],[Date]],2))</f>
        <v>45673</v>
      </c>
      <c r="C59" s="1" t="str">
        <f>PROPER(TRIM('Raw Data'!B59))</f>
        <v>East</v>
      </c>
      <c r="D59" s="1" t="str">
        <f>UPPER(TRIM(CLEAN(('Raw Data'!C59))))</f>
        <v>SPEAKER S10</v>
      </c>
      <c r="E59" s="10">
        <v>10</v>
      </c>
      <c r="F59" s="13">
        <v>85000</v>
      </c>
      <c r="G59" s="1" t="str">
        <f>PROPER(TRIM('Raw Data'!H59))</f>
        <v>Aisha Bello</v>
      </c>
      <c r="H59" s="17" t="str">
        <f>PROPER(TRIM('Raw Data'!I59))</f>
        <v>Kelvin Tech</v>
      </c>
      <c r="I59" s="13">
        <f t="shared" si="0"/>
        <v>850000</v>
      </c>
    </row>
    <row r="60" spans="1:9" x14ac:dyDescent="0.35">
      <c r="A60" s="7" t="str">
        <f>TEXT(TRIM(UPPER(CLEAN('Raw Data'!A60))),"dd/mm/yyy")</f>
        <v>05/02/2025</v>
      </c>
      <c r="B60" s="24">
        <f>DATE(RIGHT(Table2[[#This Row],[Date]],4), MID(Table2[[#This Row],[Date]],4,2), LEFT(Table2[[#This Row],[Date]],2))</f>
        <v>45693</v>
      </c>
      <c r="C60" s="1" t="str">
        <f>PROPER(TRIM('Raw Data'!B60))</f>
        <v>South</v>
      </c>
      <c r="D60" s="1" t="str">
        <f>UPPER(TRIM(CLEAN(('Raw Data'!C60))))</f>
        <v>LAPTOP A15</v>
      </c>
      <c r="E60" s="10">
        <v>5</v>
      </c>
      <c r="F60" s="13">
        <v>25000</v>
      </c>
      <c r="G60" s="1" t="str">
        <f>PROPER(TRIM('Raw Data'!H60))</f>
        <v>Aisha Bello</v>
      </c>
      <c r="H60" s="17" t="str">
        <f>PROPER(TRIM('Raw Data'!I60))</f>
        <v>Zainab Global</v>
      </c>
      <c r="I60" s="13">
        <f t="shared" si="0"/>
        <v>125000</v>
      </c>
    </row>
    <row r="61" spans="1:9" x14ac:dyDescent="0.35">
      <c r="A61" s="7" t="str">
        <f>TEXT(TRIM(UPPER(CLEAN('Raw Data'!A61))),"dd/mm/yyy")</f>
        <v>25/05/2025</v>
      </c>
      <c r="B61" s="24">
        <f>DATE(RIGHT(Table2[[#This Row],[Date]],4), MID(Table2[[#This Row],[Date]],4,2), LEFT(Table2[[#This Row],[Date]],2))</f>
        <v>45802</v>
      </c>
      <c r="C61" s="1" t="str">
        <f>PROPER(TRIM('Raw Data'!B61))</f>
        <v>East</v>
      </c>
      <c r="D61" s="1" t="str">
        <f>UPPER(TRIM(CLEAN(('Raw Data'!C61))))</f>
        <v>TABLET T8</v>
      </c>
      <c r="E61" s="10">
        <v>1</v>
      </c>
      <c r="F61" s="13">
        <v>150000</v>
      </c>
      <c r="G61" s="1" t="str">
        <f>PROPER(TRIM('Raw Data'!H61))</f>
        <v>Grace Amos</v>
      </c>
      <c r="H61" s="17" t="str">
        <f>PROPER(TRIM('Raw Data'!I61))</f>
        <v>Musa Enterprises</v>
      </c>
      <c r="I61" s="13">
        <f t="shared" si="0"/>
        <v>150000</v>
      </c>
    </row>
    <row r="62" spans="1:9" x14ac:dyDescent="0.35">
      <c r="A62" s="7" t="str">
        <f>TEXT(TRIM(UPPER(CLEAN('Raw Data'!A62))),"dd/mm/yyy")</f>
        <v>06/01/2025</v>
      </c>
      <c r="B62" s="24">
        <f>DATE(RIGHT(Table2[[#This Row],[Date]],4), MID(Table2[[#This Row],[Date]],4,2), LEFT(Table2[[#This Row],[Date]],2))</f>
        <v>45663</v>
      </c>
      <c r="C62" s="1" t="str">
        <f>PROPER(TRIM('Raw Data'!B62))</f>
        <v>South</v>
      </c>
      <c r="D62" s="1" t="str">
        <f>UPPER(TRIM(CLEAN(('Raw Data'!C62))))</f>
        <v>TABLET T8</v>
      </c>
      <c r="E62" s="10">
        <v>20</v>
      </c>
      <c r="F62" s="13">
        <v>150000</v>
      </c>
      <c r="G62" s="1" t="str">
        <f>PROPER(TRIM('Raw Data'!H62))</f>
        <v>Aisha Bello</v>
      </c>
      <c r="H62" s="17" t="str">
        <f>PROPER(TRIM('Raw Data'!I62))</f>
        <v>Emeka Traders</v>
      </c>
      <c r="I62" s="13">
        <f t="shared" si="0"/>
        <v>3000000</v>
      </c>
    </row>
    <row r="63" spans="1:9" x14ac:dyDescent="0.35">
      <c r="A63" s="7" t="str">
        <f>TEXT(TRIM(UPPER(CLEAN('Raw Data'!A63))),"dd/mm/yyy")</f>
        <v>06/02/2025</v>
      </c>
      <c r="B63" s="24">
        <f>DATE(RIGHT(Table2[[#This Row],[Date]],4), MID(Table2[[#This Row],[Date]],4,2), LEFT(Table2[[#This Row],[Date]],2))</f>
        <v>45694</v>
      </c>
      <c r="C63" s="1" t="str">
        <f>PROPER(TRIM('Raw Data'!B63))</f>
        <v>South</v>
      </c>
      <c r="D63" s="1" t="str">
        <f>UPPER(TRIM(CLEAN(('Raw Data'!C63))))</f>
        <v>TV 43Q</v>
      </c>
      <c r="E63" s="10">
        <v>11</v>
      </c>
      <c r="F63" s="13">
        <v>350000</v>
      </c>
      <c r="G63" s="1" t="str">
        <f>PROPER(TRIM('Raw Data'!H63))</f>
        <v>Chinedu Nwosu</v>
      </c>
      <c r="H63" s="17" t="str">
        <f>PROPER(TRIM('Raw Data'!I63))</f>
        <v>Tola Ventures</v>
      </c>
      <c r="I63" s="13">
        <f t="shared" si="0"/>
        <v>3850000</v>
      </c>
    </row>
    <row r="64" spans="1:9" x14ac:dyDescent="0.35">
      <c r="A64" s="7" t="str">
        <f>TEXT(TRIM(UPPER(CLEAN('Raw Data'!A64))),"dd/mm/yyy")</f>
        <v>14/01/2025</v>
      </c>
      <c r="B64" s="24">
        <f>DATE(RIGHT(Table2[[#This Row],[Date]],4), MID(Table2[[#This Row],[Date]],4,2), LEFT(Table2[[#This Row],[Date]],2))</f>
        <v>45671</v>
      </c>
      <c r="C64" s="1" t="str">
        <f>PROPER(TRIM('Raw Data'!B64))</f>
        <v>East</v>
      </c>
      <c r="D64" s="1" t="str">
        <f>UPPER(TRIM(CLEAN(('Raw Data'!C64))))</f>
        <v>LAPTOP A15</v>
      </c>
      <c r="E64" s="10">
        <v>14</v>
      </c>
      <c r="F64" s="13">
        <v>250000</v>
      </c>
      <c r="G64" s="1" t="str">
        <f>PROPER(TRIM('Raw Data'!H64))</f>
        <v>Chinedu Nwosu</v>
      </c>
      <c r="H64" s="17" t="str">
        <f>PROPER(TRIM('Raw Data'!I64))</f>
        <v>Chika Mart</v>
      </c>
      <c r="I64" s="13">
        <f t="shared" si="0"/>
        <v>3500000</v>
      </c>
    </row>
    <row r="65" spans="1:9" x14ac:dyDescent="0.35">
      <c r="A65" s="7" t="str">
        <f>TEXT(TRIM(UPPER(CLEAN('Raw Data'!A65))),"dd/mm/yyy")</f>
        <v>02/05/2025</v>
      </c>
      <c r="B65" s="24">
        <f>DATE(RIGHT(Table2[[#This Row],[Date]],4), MID(Table2[[#This Row],[Date]],4,2), LEFT(Table2[[#This Row],[Date]],2))</f>
        <v>45779</v>
      </c>
      <c r="C65" s="1" t="str">
        <f>PROPER(TRIM('Raw Data'!B65))</f>
        <v>West</v>
      </c>
      <c r="D65" s="1" t="str">
        <f>UPPER(TRIM(CLEAN(('Raw Data'!C65))))</f>
        <v>TABLET T8</v>
      </c>
      <c r="E65" s="10">
        <v>3</v>
      </c>
      <c r="F65" s="13">
        <v>150000</v>
      </c>
      <c r="G65" s="1" t="str">
        <f>PROPER(TRIM('Raw Data'!H65))</f>
        <v>Aisha Bello</v>
      </c>
      <c r="H65" s="17" t="str">
        <f>PROPER(TRIM('Raw Data'!I65))</f>
        <v>Bright Solutions</v>
      </c>
      <c r="I65" s="13">
        <f t="shared" si="0"/>
        <v>450000</v>
      </c>
    </row>
    <row r="66" spans="1:9" x14ac:dyDescent="0.35">
      <c r="A66" s="7" t="str">
        <f>TEXT(TRIM(UPPER(CLEAN('Raw Data'!A66))),"dd/mm/yyy")</f>
        <v>17/06/2205</v>
      </c>
      <c r="B66" s="24">
        <f>DATE(RIGHT(Table2[[#This Row],[Date]],4), MID(Table2[[#This Row],[Date]],4,2), LEFT(Table2[[#This Row],[Date]],2))</f>
        <v>111568</v>
      </c>
      <c r="C66" s="1" t="str">
        <f>PROPER(TRIM('Raw Data'!B66))</f>
        <v>East</v>
      </c>
      <c r="D66" s="1" t="str">
        <f>UPPER(TRIM(CLEAN(('Raw Data'!C66))))</f>
        <v>SPEAKER S10</v>
      </c>
      <c r="E66" s="10">
        <v>6</v>
      </c>
      <c r="F66" s="13">
        <v>85000</v>
      </c>
      <c r="G66" s="1" t="str">
        <f>PROPER(TRIM('Raw Data'!H66))</f>
        <v>Fola Balogun</v>
      </c>
      <c r="H66" s="17" t="str">
        <f>PROPER(TRIM('Raw Data'!I66))</f>
        <v>Emeka Traders</v>
      </c>
      <c r="I66" s="13">
        <f t="shared" si="0"/>
        <v>510000</v>
      </c>
    </row>
    <row r="67" spans="1:9" x14ac:dyDescent="0.35">
      <c r="A67" s="7" t="str">
        <f>TEXT(TRIM(UPPER(CLEAN('Raw Data'!A67))),"dd/mm/yyy")</f>
        <v>13/01/2025</v>
      </c>
      <c r="B67" s="24">
        <f>DATE(RIGHT(Table2[[#This Row],[Date]],4), MID(Table2[[#This Row],[Date]],4,2), LEFT(Table2[[#This Row],[Date]],2))</f>
        <v>45670</v>
      </c>
      <c r="C67" s="1" t="str">
        <f>PROPER(TRIM('Raw Data'!B67))</f>
        <v>West</v>
      </c>
      <c r="D67" s="1" t="str">
        <f>UPPER(TRIM(CLEAN(('Raw Data'!C67))))</f>
        <v>TV 43Q</v>
      </c>
      <c r="E67" s="10">
        <v>15</v>
      </c>
      <c r="F67" s="13">
        <v>350000</v>
      </c>
      <c r="G67" s="1" t="str">
        <f>PROPER(TRIM('Raw Data'!H67))</f>
        <v>Chinedu Nwosu</v>
      </c>
      <c r="H67" s="17" t="str">
        <f>PROPER(TRIM('Raw Data'!I67))</f>
        <v>Tola Ventures</v>
      </c>
      <c r="I67" s="13">
        <f t="shared" ref="I67:I101" si="1">E67*F67</f>
        <v>5250000</v>
      </c>
    </row>
    <row r="68" spans="1:9" x14ac:dyDescent="0.35">
      <c r="A68" s="7" t="str">
        <f>TEXT(TRIM(UPPER(CLEAN('Raw Data'!A68))),"dd/mm/yyy")</f>
        <v>02/06/2025</v>
      </c>
      <c r="B68" s="24">
        <f>DATE(RIGHT(Table2[[#This Row],[Date]],4), MID(Table2[[#This Row],[Date]],4,2), LEFT(Table2[[#This Row],[Date]],2))</f>
        <v>45810</v>
      </c>
      <c r="C68" s="1" t="str">
        <f>PROPER(TRIM('Raw Data'!B68))</f>
        <v>North</v>
      </c>
      <c r="D68" s="1" t="str">
        <f>UPPER(TRIM(CLEAN(('Raw Data'!C68))))</f>
        <v>TABLET T8</v>
      </c>
      <c r="E68" s="10">
        <v>16</v>
      </c>
      <c r="F68" s="13">
        <v>150000</v>
      </c>
      <c r="G68" s="1" t="str">
        <f>PROPER(TRIM('Raw Data'!H68))</f>
        <v>Ifeanyi Okafor</v>
      </c>
      <c r="H68" s="17" t="str">
        <f>PROPER(TRIM('Raw Data'!I68))</f>
        <v>Chika Mart</v>
      </c>
      <c r="I68" s="13">
        <f t="shared" si="1"/>
        <v>2400000</v>
      </c>
    </row>
    <row r="69" spans="1:9" x14ac:dyDescent="0.35">
      <c r="A69" s="7" t="str">
        <f>TEXT(TRIM(UPPER(CLEAN('Raw Data'!A69))),"dd/mm/yyy")</f>
        <v>16/02/2025</v>
      </c>
      <c r="B69" s="24">
        <f>DATE(RIGHT(Table2[[#This Row],[Date]],4), MID(Table2[[#This Row],[Date]],4,2), LEFT(Table2[[#This Row],[Date]],2))</f>
        <v>45704</v>
      </c>
      <c r="C69" s="1" t="str">
        <f>PROPER(TRIM('Raw Data'!B69))</f>
        <v>East</v>
      </c>
      <c r="D69" s="1" t="str">
        <f>UPPER(TRIM(CLEAN(('Raw Data'!C69))))</f>
        <v>CAMERA C100</v>
      </c>
      <c r="E69" s="10">
        <v>8</v>
      </c>
      <c r="F69" s="13">
        <v>175000</v>
      </c>
      <c r="G69" s="1" t="str">
        <f>PROPER(TRIM('Raw Data'!H69))</f>
        <v>Peter Obi</v>
      </c>
      <c r="H69" s="17" t="str">
        <f>PROPER(TRIM('Raw Data'!I69))</f>
        <v>Bright Solutions</v>
      </c>
      <c r="I69" s="13">
        <f t="shared" si="1"/>
        <v>1400000</v>
      </c>
    </row>
    <row r="70" spans="1:9" x14ac:dyDescent="0.35">
      <c r="A70" s="7" t="str">
        <f>TEXT(TRIM(UPPER(CLEAN('Raw Data'!A70))),"dd/mm/yyy")</f>
        <v>14/04/2025</v>
      </c>
      <c r="B70" s="24">
        <f>DATE(RIGHT(Table2[[#This Row],[Date]],4), MID(Table2[[#This Row],[Date]],4,2), LEFT(Table2[[#This Row],[Date]],2))</f>
        <v>45761</v>
      </c>
      <c r="C70" s="1" t="str">
        <f>PROPER(TRIM('Raw Data'!B70))</f>
        <v>South</v>
      </c>
      <c r="D70" s="1" t="str">
        <f>UPPER(TRIM(CLEAN(('Raw Data'!C70))))</f>
        <v>SPEAKER S10</v>
      </c>
      <c r="E70" s="10">
        <v>2</v>
      </c>
      <c r="F70" s="13">
        <v>85000</v>
      </c>
      <c r="G70" s="1" t="str">
        <f>PROPER(TRIM('Raw Data'!H70))</f>
        <v>Chinedu Nwosu</v>
      </c>
      <c r="H70" s="17" t="str">
        <f>PROPER(TRIM('Raw Data'!I70))</f>
        <v>Kelvin Tech</v>
      </c>
      <c r="I70" s="13">
        <f t="shared" si="1"/>
        <v>170000</v>
      </c>
    </row>
    <row r="71" spans="1:9" x14ac:dyDescent="0.35">
      <c r="A71" s="7" t="str">
        <f>TEXT(TRIM(UPPER(CLEAN('Raw Data'!A71))),"dd/mm/yyy")</f>
        <v>06/01/2025</v>
      </c>
      <c r="B71" s="24">
        <f>DATE(RIGHT(Table2[[#This Row],[Date]],4), MID(Table2[[#This Row],[Date]],4,2), LEFT(Table2[[#This Row],[Date]],2))</f>
        <v>45663</v>
      </c>
      <c r="C71" s="1" t="str">
        <f>PROPER(TRIM('Raw Data'!B71))</f>
        <v>North</v>
      </c>
      <c r="D71" s="1" t="str">
        <f>UPPER(TRIM(CLEAN(('Raw Data'!C71))))</f>
        <v>LAPTOP A15</v>
      </c>
      <c r="E71" s="10">
        <v>13</v>
      </c>
      <c r="F71" s="13">
        <v>250000</v>
      </c>
      <c r="G71" s="1" t="str">
        <f>PROPER(TRIM('Raw Data'!H71))</f>
        <v>Grace Amos</v>
      </c>
      <c r="H71" s="17" t="str">
        <f>PROPER(TRIM('Raw Data'!I71))</f>
        <v>Chika Mart</v>
      </c>
      <c r="I71" s="13">
        <f t="shared" si="1"/>
        <v>3250000</v>
      </c>
    </row>
    <row r="72" spans="1:9" x14ac:dyDescent="0.35">
      <c r="A72" s="7" t="str">
        <f>TEXT(TRIM(UPPER(CLEAN('Raw Data'!A72))),"dd/mm/yyy")</f>
        <v>11/01/2025</v>
      </c>
      <c r="B72" s="24">
        <f>DATE(RIGHT(Table2[[#This Row],[Date]],4), MID(Table2[[#This Row],[Date]],4,2), LEFT(Table2[[#This Row],[Date]],2))</f>
        <v>45668</v>
      </c>
      <c r="C72" s="1" t="str">
        <f>PROPER(TRIM('Raw Data'!B72))</f>
        <v>West</v>
      </c>
      <c r="D72" s="1" t="str">
        <f>UPPER(TRIM(CLEAN(('Raw Data'!C72))))</f>
        <v>MONITOR M24</v>
      </c>
      <c r="E72" s="10">
        <v>11</v>
      </c>
      <c r="F72" s="13">
        <v>65000</v>
      </c>
      <c r="G72" s="1" t="str">
        <f>PROPER(TRIM('Raw Data'!H72))</f>
        <v>Chinedu Nwosu</v>
      </c>
      <c r="H72" s="17" t="str">
        <f>PROPER(TRIM('Raw Data'!I72))</f>
        <v>Tola Ventures</v>
      </c>
      <c r="I72" s="13">
        <f t="shared" si="1"/>
        <v>715000</v>
      </c>
    </row>
    <row r="73" spans="1:9" x14ac:dyDescent="0.35">
      <c r="A73" s="7" t="str">
        <f>TEXT(TRIM(UPPER(CLEAN('Raw Data'!A73))),"dd/mm/yyy")</f>
        <v>17/06/2025</v>
      </c>
      <c r="B73" s="24">
        <f>DATE(RIGHT(Table2[[#This Row],[Date]],4), MID(Table2[[#This Row],[Date]],4,2), LEFT(Table2[[#This Row],[Date]],2))</f>
        <v>45825</v>
      </c>
      <c r="C73" s="1" t="str">
        <f>PROPER(TRIM('Raw Data'!B73))</f>
        <v>South</v>
      </c>
      <c r="D73" s="1" t="str">
        <f>UPPER(TRIM(CLEAN(('Raw Data'!C73))))</f>
        <v>TV 43Q</v>
      </c>
      <c r="E73" s="10">
        <v>17</v>
      </c>
      <c r="F73" s="13">
        <v>3500</v>
      </c>
      <c r="G73" s="1" t="str">
        <f>PROPER(TRIM('Raw Data'!H73))</f>
        <v>Chinedu Nwosu</v>
      </c>
      <c r="H73" s="17" t="str">
        <f>PROPER(TRIM('Raw Data'!I73))</f>
        <v>Omega Wholesale</v>
      </c>
      <c r="I73" s="13">
        <f t="shared" si="1"/>
        <v>59500</v>
      </c>
    </row>
    <row r="74" spans="1:9" x14ac:dyDescent="0.35">
      <c r="A74" s="7" t="str">
        <f>TEXT(TRIM(UPPER(CLEAN('Raw Data'!A74))),"dd/mm/yyy")</f>
        <v>14/01/2025</v>
      </c>
      <c r="B74" s="24">
        <f>DATE(RIGHT(Table2[[#This Row],[Date]],4), MID(Table2[[#This Row],[Date]],4,2), LEFT(Table2[[#This Row],[Date]],2))</f>
        <v>45671</v>
      </c>
      <c r="C74" s="1" t="str">
        <f>PROPER(TRIM('Raw Data'!B74))</f>
        <v>West</v>
      </c>
      <c r="D74" s="1" t="str">
        <f>UPPER(TRIM(CLEAN(('Raw Data'!C74))))</f>
        <v>MONITOR M24</v>
      </c>
      <c r="E74" s="10">
        <v>18</v>
      </c>
      <c r="F74" s="13">
        <v>65000</v>
      </c>
      <c r="G74" s="1" t="str">
        <f>PROPER(TRIM('Raw Data'!H74))</f>
        <v>Chinedu Nwosu</v>
      </c>
      <c r="H74" s="17" t="str">
        <f>PROPER(TRIM('Raw Data'!I74))</f>
        <v>Femi Tech</v>
      </c>
      <c r="I74" s="13">
        <f t="shared" si="1"/>
        <v>1170000</v>
      </c>
    </row>
    <row r="75" spans="1:9" x14ac:dyDescent="0.35">
      <c r="A75" s="7" t="str">
        <f>TEXT(TRIM(UPPER(CLEAN('Raw Data'!A75))),"dd/mm/yyy")</f>
        <v>29/05/2025</v>
      </c>
      <c r="B75" s="24">
        <f>DATE(RIGHT(Table2[[#This Row],[Date]],4), MID(Table2[[#This Row],[Date]],4,2), LEFT(Table2[[#This Row],[Date]],2))</f>
        <v>45806</v>
      </c>
      <c r="C75" s="1" t="str">
        <f>PROPER(TRIM('Raw Data'!B75))</f>
        <v>East</v>
      </c>
      <c r="D75" s="1" t="str">
        <f>UPPER(TRIM(CLEAN(('Raw Data'!C75))))</f>
        <v>PHONE X12</v>
      </c>
      <c r="E75" s="10">
        <v>13</v>
      </c>
      <c r="F75" s="13">
        <v>180000</v>
      </c>
      <c r="G75" s="1" t="str">
        <f>PROPER(TRIM('Raw Data'!H75))</f>
        <v>Grace Amos</v>
      </c>
      <c r="H75" s="17" t="str">
        <f>PROPER(TRIM('Raw Data'!I75))</f>
        <v>Zainab Global</v>
      </c>
      <c r="I75" s="13">
        <f t="shared" si="1"/>
        <v>2340000</v>
      </c>
    </row>
    <row r="76" spans="1:9" x14ac:dyDescent="0.35">
      <c r="A76" s="7" t="str">
        <f>TEXT(TRIM(UPPER(CLEAN('Raw Data'!A76))),"dd/mm/yyy")</f>
        <v>15/03/2025</v>
      </c>
      <c r="B76" s="24">
        <f>DATE(RIGHT(Table2[[#This Row],[Date]],4), MID(Table2[[#This Row],[Date]],4,2), LEFT(Table2[[#This Row],[Date]],2))</f>
        <v>45731</v>
      </c>
      <c r="C76" s="1" t="str">
        <f>PROPER(TRIM('Raw Data'!B76))</f>
        <v>South</v>
      </c>
      <c r="D76" s="1" t="str">
        <f>UPPER(TRIM(CLEAN(('Raw Data'!C76))))</f>
        <v>CAMER AC100</v>
      </c>
      <c r="E76" s="10">
        <v>10</v>
      </c>
      <c r="F76" s="13">
        <v>175000</v>
      </c>
      <c r="G76" s="1" t="str">
        <f>PROPER(TRIM('Raw Data'!H76))</f>
        <v>Aisha Bello</v>
      </c>
      <c r="H76" s="17" t="str">
        <f>PROPER(TRIM('Raw Data'!I76))</f>
        <v>Jide Superstores</v>
      </c>
      <c r="I76" s="13">
        <f t="shared" si="1"/>
        <v>1750000</v>
      </c>
    </row>
    <row r="77" spans="1:9" x14ac:dyDescent="0.35">
      <c r="A77" s="7" t="str">
        <f>TEXT(TRIM(UPPER(CLEAN('Raw Data'!A77))),"dd/mm/yyy")</f>
        <v>26/03/2025</v>
      </c>
      <c r="B77" s="24">
        <f>DATE(RIGHT(Table2[[#This Row],[Date]],4), MID(Table2[[#This Row],[Date]],4,2), LEFT(Table2[[#This Row],[Date]],2))</f>
        <v>45742</v>
      </c>
      <c r="C77" s="1" t="str">
        <f>PROPER(TRIM('Raw Data'!B77))</f>
        <v>East</v>
      </c>
      <c r="D77" s="1" t="str">
        <f>UPPER(TRIM(CLEAN(('Raw Data'!C77))))</f>
        <v>SPEAKER S10</v>
      </c>
      <c r="E77" s="10">
        <v>5</v>
      </c>
      <c r="F77" s="13">
        <v>85000</v>
      </c>
      <c r="G77" s="1" t="str">
        <f>PROPER(TRIM('Raw Data'!H77))</f>
        <v>Grace Amos</v>
      </c>
      <c r="H77" s="17" t="str">
        <f>PROPER(TRIM('Raw Data'!I77))</f>
        <v>Adewale Stores</v>
      </c>
      <c r="I77" s="13">
        <f t="shared" si="1"/>
        <v>425000</v>
      </c>
    </row>
    <row r="78" spans="1:9" x14ac:dyDescent="0.35">
      <c r="A78" s="7" t="str">
        <f>TEXT(TRIM(UPPER(CLEAN('Raw Data'!A78))),"dd/mm/yyy")</f>
        <v>12/01/2025</v>
      </c>
      <c r="B78" s="24">
        <f>DATE(RIGHT(Table2[[#This Row],[Date]],4), MID(Table2[[#This Row],[Date]],4,2), LEFT(Table2[[#This Row],[Date]],2))</f>
        <v>45669</v>
      </c>
      <c r="C78" s="1" t="str">
        <f>PROPER(TRIM('Raw Data'!B78))</f>
        <v>North</v>
      </c>
      <c r="D78" s="1" t="str">
        <f>UPPER(TRIM(CLEAN(('Raw Data'!C78))))</f>
        <v>TV 43Q</v>
      </c>
      <c r="E78" s="10">
        <v>17</v>
      </c>
      <c r="F78" s="13">
        <v>350000</v>
      </c>
      <c r="G78" s="1" t="str">
        <f>PROPER(TRIM('Raw Data'!H78))</f>
        <v>Mary John</v>
      </c>
      <c r="H78" s="17" t="str">
        <f>PROPER(TRIM('Raw Data'!I78))</f>
        <v>Emeka Traders</v>
      </c>
      <c r="I78" s="13">
        <f t="shared" si="1"/>
        <v>5950000</v>
      </c>
    </row>
    <row r="79" spans="1:9" x14ac:dyDescent="0.35">
      <c r="A79" s="7" t="str">
        <f>TEXT(TRIM(UPPER(CLEAN('Raw Data'!A79))),"dd/mm/yyy")</f>
        <v>23/01/2025</v>
      </c>
      <c r="B79" s="24">
        <f>DATE(RIGHT(Table2[[#This Row],[Date]],4), MID(Table2[[#This Row],[Date]],4,2), LEFT(Table2[[#This Row],[Date]],2))</f>
        <v>45680</v>
      </c>
      <c r="C79" s="1" t="str">
        <f>PROPER(TRIM('Raw Data'!B79))</f>
        <v>North</v>
      </c>
      <c r="D79" s="1" t="str">
        <f>UPPER(TRIM(CLEAN(('Raw Data'!C79))))</f>
        <v>TV 43Q</v>
      </c>
      <c r="E79" s="10">
        <v>13</v>
      </c>
      <c r="F79" s="13">
        <v>350000</v>
      </c>
      <c r="G79" s="1" t="str">
        <f>PROPER(TRIM('Raw Data'!H79))</f>
        <v>Fola Balogun</v>
      </c>
      <c r="H79" s="17" t="str">
        <f>PROPER(TRIM('Raw Data'!I79))</f>
        <v>Emeka Traders</v>
      </c>
      <c r="I79" s="13">
        <f t="shared" si="1"/>
        <v>4550000</v>
      </c>
    </row>
    <row r="80" spans="1:9" x14ac:dyDescent="0.35">
      <c r="A80" s="7" t="str">
        <f>TEXT(TRIM(UPPER(CLEAN('Raw Data'!A80))),"dd/mm/yyy")</f>
        <v>05/05/2025</v>
      </c>
      <c r="B80" s="24">
        <f>DATE(RIGHT(Table2[[#This Row],[Date]],4), MID(Table2[[#This Row],[Date]],4,2), LEFT(Table2[[#This Row],[Date]],2))</f>
        <v>45782</v>
      </c>
      <c r="C80" s="1" t="str">
        <f>PROPER(TRIM('Raw Data'!B80))</f>
        <v>North</v>
      </c>
      <c r="D80" s="1" t="str">
        <f>UPPER(TRIM(CLEAN(('Raw Data'!C80))))</f>
        <v>TV 43Q</v>
      </c>
      <c r="E80" s="10">
        <v>8</v>
      </c>
      <c r="F80" s="13">
        <v>350000</v>
      </c>
      <c r="G80" s="1" t="str">
        <f>PROPER(TRIM('Raw Data'!H80))</f>
        <v>Ifeanyi Okafor</v>
      </c>
      <c r="H80" s="17" t="str">
        <f>PROPER(TRIM('Raw Data'!I80))</f>
        <v>Maryam Ltd</v>
      </c>
      <c r="I80" s="13">
        <f t="shared" si="1"/>
        <v>2800000</v>
      </c>
    </row>
    <row r="81" spans="1:9" x14ac:dyDescent="0.35">
      <c r="A81" s="7" t="str">
        <f>TEXT(TRIM(UPPER(CLEAN('Raw Data'!A81))),"dd/mm/yyy")</f>
        <v>19/05/2025</v>
      </c>
      <c r="B81" s="24">
        <f>DATE(RIGHT(Table2[[#This Row],[Date]],4), MID(Table2[[#This Row],[Date]],4,2), LEFT(Table2[[#This Row],[Date]],2))</f>
        <v>45796</v>
      </c>
      <c r="C81" s="1" t="str">
        <f>PROPER(TRIM('Raw Data'!B81))</f>
        <v>South</v>
      </c>
      <c r="D81" s="1" t="str">
        <f>UPPER(TRIM(CLEAN(('Raw Data'!C81))))</f>
        <v>SPEAKER S10</v>
      </c>
      <c r="E81" s="10">
        <v>13</v>
      </c>
      <c r="F81" s="13">
        <v>85000</v>
      </c>
      <c r="G81" s="1" t="str">
        <f>PROPER(TRIM('Raw Data'!H81))</f>
        <v>Aisha Bello</v>
      </c>
      <c r="H81" s="17" t="str">
        <f>PROPER(TRIM('Raw Data'!I81))</f>
        <v>Maryam Ltd</v>
      </c>
      <c r="I81" s="13">
        <f t="shared" si="1"/>
        <v>1105000</v>
      </c>
    </row>
    <row r="82" spans="1:9" x14ac:dyDescent="0.35">
      <c r="A82" s="7" t="str">
        <f>TEXT(TRIM(UPPER(CLEAN('Raw Data'!A82))),"dd/mm/yyy")</f>
        <v>04/04/2025</v>
      </c>
      <c r="B82" s="24">
        <f>DATE(RIGHT(Table2[[#This Row],[Date]],4), MID(Table2[[#This Row],[Date]],4,2), LEFT(Table2[[#This Row],[Date]],2))</f>
        <v>45751</v>
      </c>
      <c r="C82" s="1" t="str">
        <f>PROPER(TRIM('Raw Data'!B82))</f>
        <v>East</v>
      </c>
      <c r="D82" s="1" t="str">
        <f>UPPER(TRIM(CLEAN(('Raw Data'!C82))))</f>
        <v>TABLET T8</v>
      </c>
      <c r="E82" s="10">
        <v>17</v>
      </c>
      <c r="F82" s="13">
        <v>150000</v>
      </c>
      <c r="G82" s="1" t="str">
        <f>PROPER(TRIM('Raw Data'!H82))</f>
        <v>Fola Balogun</v>
      </c>
      <c r="H82" s="17" t="str">
        <f>PROPER(TRIM('Raw Data'!I82))</f>
        <v>Musa Enterprises</v>
      </c>
      <c r="I82" s="13">
        <f t="shared" si="1"/>
        <v>2550000</v>
      </c>
    </row>
    <row r="83" spans="1:9" x14ac:dyDescent="0.35">
      <c r="A83" s="7" t="str">
        <f>TEXT(TRIM(UPPER(CLEAN('Raw Data'!A83))),"dd/mm/yyy")</f>
        <v>26/02/2025</v>
      </c>
      <c r="B83" s="24">
        <f>DATE(RIGHT(Table2[[#This Row],[Date]],4), MID(Table2[[#This Row],[Date]],4,2), LEFT(Table2[[#This Row],[Date]],2))</f>
        <v>45714</v>
      </c>
      <c r="C83" s="1" t="str">
        <f>PROPER(TRIM('Raw Data'!B83))</f>
        <v>South</v>
      </c>
      <c r="D83" s="1" t="str">
        <f>UPPER(TRIM(CLEAN(('Raw Data'!C83))))</f>
        <v>MONITOR M24</v>
      </c>
      <c r="E83" s="10">
        <v>19</v>
      </c>
      <c r="F83" s="13">
        <v>65000</v>
      </c>
      <c r="G83" s="1" t="str">
        <f>PROPER(TRIM('Raw Data'!H83))</f>
        <v>Grace Amos</v>
      </c>
      <c r="H83" s="17" t="str">
        <f>PROPER(TRIM('Raw Data'!I83))</f>
        <v>Femi Tech</v>
      </c>
      <c r="I83" s="13">
        <f t="shared" si="1"/>
        <v>1235000</v>
      </c>
    </row>
    <row r="84" spans="1:9" x14ac:dyDescent="0.35">
      <c r="A84" s="7" t="str">
        <f>TEXT(TRIM(UPPER(CLEAN('Raw Data'!A84))),"dd/mm/yyy")</f>
        <v>03/06/2025</v>
      </c>
      <c r="B84" s="24">
        <f>DATE(RIGHT(Table2[[#This Row],[Date]],4), MID(Table2[[#This Row],[Date]],4,2), LEFT(Table2[[#This Row],[Date]],2))</f>
        <v>45811</v>
      </c>
      <c r="C84" s="1" t="str">
        <f>PROPER(TRIM('Raw Data'!B84))</f>
        <v>North</v>
      </c>
      <c r="D84" s="1" t="str">
        <f>UPPER(TRIM(CLEAN(('Raw Data'!C84))))</f>
        <v>TABLET T8</v>
      </c>
      <c r="E84" s="10">
        <v>1</v>
      </c>
      <c r="F84" s="13">
        <v>150000</v>
      </c>
      <c r="G84" s="1" t="str">
        <f>PROPER(TRIM('Raw Data'!H84))</f>
        <v>Grace Amos</v>
      </c>
      <c r="H84" s="17" t="str">
        <f>PROPER(TRIM('Raw Data'!I84))</f>
        <v>Adewale Stores</v>
      </c>
      <c r="I84" s="13">
        <f t="shared" si="1"/>
        <v>150000</v>
      </c>
    </row>
    <row r="85" spans="1:9" x14ac:dyDescent="0.35">
      <c r="A85" s="7" t="str">
        <f>TEXT(TRIM(UPPER(CLEAN('Raw Data'!A85))),"dd/mm/yyy")</f>
        <v>05/04/2025</v>
      </c>
      <c r="B85" s="24">
        <f>DATE(RIGHT(Table2[[#This Row],[Date]],4), MID(Table2[[#This Row],[Date]],4,2), LEFT(Table2[[#This Row],[Date]],2))</f>
        <v>45752</v>
      </c>
      <c r="C85" s="1" t="str">
        <f>PROPER(TRIM('Raw Data'!B85))</f>
        <v>East</v>
      </c>
      <c r="D85" s="1" t="str">
        <f>UPPER(TRIM(CLEAN(('Raw Data'!C85))))</f>
        <v>LAPTOP A15</v>
      </c>
      <c r="E85" s="10">
        <v>13</v>
      </c>
      <c r="F85" s="13">
        <v>250000</v>
      </c>
      <c r="G85" s="1" t="str">
        <f>PROPER(TRIM('Raw Data'!H85))</f>
        <v>Chinedu Nwosu</v>
      </c>
      <c r="H85" s="17" t="str">
        <f>PROPER(TRIM('Raw Data'!I85))</f>
        <v>Maryam Ltd</v>
      </c>
      <c r="I85" s="13">
        <f t="shared" si="1"/>
        <v>3250000</v>
      </c>
    </row>
    <row r="86" spans="1:9" x14ac:dyDescent="0.35">
      <c r="A86" s="7" t="str">
        <f>TEXT(TRIM(UPPER(CLEAN('Raw Data'!A86))),"dd/mm/yyy")</f>
        <v>30/01/2025</v>
      </c>
      <c r="B86" s="24">
        <f>DATE(RIGHT(Table2[[#This Row],[Date]],4), MID(Table2[[#This Row],[Date]],4,2), LEFT(Table2[[#This Row],[Date]],2))</f>
        <v>45687</v>
      </c>
      <c r="C86" s="1" t="str">
        <f>PROPER(TRIM('Raw Data'!B86))</f>
        <v>East</v>
      </c>
      <c r="D86" s="1" t="str">
        <f>UPPER(TRIM(CLEAN(('Raw Data'!C86))))</f>
        <v>MONITOR M24</v>
      </c>
      <c r="E86" s="10">
        <v>18</v>
      </c>
      <c r="F86" s="13">
        <v>65000</v>
      </c>
      <c r="G86" s="1" t="str">
        <f>PROPER(TRIM('Raw Data'!H86))</f>
        <v>Chinedu Nwosu</v>
      </c>
      <c r="H86" s="17" t="str">
        <f>PROPER(TRIM('Raw Data'!I86))</f>
        <v>Tope &amp; Sons</v>
      </c>
      <c r="I86" s="13">
        <f t="shared" si="1"/>
        <v>1170000</v>
      </c>
    </row>
    <row r="87" spans="1:9" x14ac:dyDescent="0.35">
      <c r="A87" s="7" t="str">
        <f>TEXT(TRIM(UPPER(CLEAN('Raw Data'!A87))),"dd/mm/yyy")</f>
        <v>31/01/2025</v>
      </c>
      <c r="B87" s="24">
        <f>DATE(RIGHT(Table2[[#This Row],[Date]],4), MID(Table2[[#This Row],[Date]],4,2), LEFT(Table2[[#This Row],[Date]],2))</f>
        <v>45688</v>
      </c>
      <c r="C87" s="1" t="str">
        <f>PROPER(TRIM('Raw Data'!B87))</f>
        <v>North</v>
      </c>
      <c r="D87" s="1" t="str">
        <f>UPPER(TRIM(CLEAN(('Raw Data'!C87))))</f>
        <v>LAPTOP A15</v>
      </c>
      <c r="E87" s="10">
        <v>20</v>
      </c>
      <c r="F87" s="13">
        <v>250000</v>
      </c>
      <c r="G87" s="1" t="str">
        <f>PROPER(TRIM('Raw Data'!H87))</f>
        <v>Aisha Bello</v>
      </c>
      <c r="H87" s="17" t="str">
        <f>PROPER(TRIM('Raw Data'!I87))</f>
        <v>Omega Wholesale</v>
      </c>
      <c r="I87" s="13">
        <f t="shared" si="1"/>
        <v>5000000</v>
      </c>
    </row>
    <row r="88" spans="1:9" x14ac:dyDescent="0.35">
      <c r="A88" s="7" t="str">
        <f>TEXT(TRIM(UPPER(CLEAN('Raw Data'!A88))),"dd/mm/yyy")</f>
        <v>27/05/2025</v>
      </c>
      <c r="B88" s="24">
        <f>DATE(RIGHT(Table2[[#This Row],[Date]],4), MID(Table2[[#This Row],[Date]],4,2), LEFT(Table2[[#This Row],[Date]],2))</f>
        <v>45804</v>
      </c>
      <c r="C88" s="1" t="str">
        <f>PROPER(TRIM('Raw Data'!B88))</f>
        <v>East</v>
      </c>
      <c r="D88" s="1" t="str">
        <f>UPPER(TRIM(CLEAN(('Raw Data'!C88))))</f>
        <v>PHONE X12</v>
      </c>
      <c r="E88" s="10">
        <v>4</v>
      </c>
      <c r="F88" s="13">
        <v>180000</v>
      </c>
      <c r="G88" s="1" t="str">
        <f>PROPER(TRIM('Raw Data'!H88))</f>
        <v>Aisha Bello</v>
      </c>
      <c r="H88" s="17" t="str">
        <f>PROPER(TRIM('Raw Data'!I88))</f>
        <v>Musa Enterprises</v>
      </c>
      <c r="I88" s="13">
        <f t="shared" si="1"/>
        <v>720000</v>
      </c>
    </row>
    <row r="89" spans="1:9" x14ac:dyDescent="0.35">
      <c r="A89" s="7" t="str">
        <f>TEXT(TRIM(UPPER(CLEAN('Raw Data'!A89))),"dd/mm/yyy")</f>
        <v>08/04/2025</v>
      </c>
      <c r="B89" s="24">
        <f>DATE(RIGHT(Table2[[#This Row],[Date]],4), MID(Table2[[#This Row],[Date]],4,2), LEFT(Table2[[#This Row],[Date]],2))</f>
        <v>45755</v>
      </c>
      <c r="C89" s="1" t="str">
        <f>PROPER(TRIM('Raw Data'!B89))</f>
        <v>South</v>
      </c>
      <c r="D89" s="1" t="str">
        <f>UPPER(TRIM(CLEAN(('Raw Data'!C89))))</f>
        <v>TABLET T8</v>
      </c>
      <c r="E89" s="10">
        <v>5</v>
      </c>
      <c r="F89" s="13">
        <v>150000</v>
      </c>
      <c r="G89" s="1" t="str">
        <f>PROPER(TRIM('Raw Data'!H89))</f>
        <v>Chinedu Nwosu</v>
      </c>
      <c r="H89" s="17" t="str">
        <f>PROPER(TRIM('Raw Data'!I89))</f>
        <v>Alpha Retailers</v>
      </c>
      <c r="I89" s="13">
        <f t="shared" si="1"/>
        <v>750000</v>
      </c>
    </row>
    <row r="90" spans="1:9" x14ac:dyDescent="0.35">
      <c r="A90" s="7" t="str">
        <f>TEXT(TRIM(UPPER(CLEAN('Raw Data'!A90))),"dd/mm/yyy")</f>
        <v>13/02/2025</v>
      </c>
      <c r="B90" s="24">
        <f>DATE(RIGHT(Table2[[#This Row],[Date]],4), MID(Table2[[#This Row],[Date]],4,2), LEFT(Table2[[#This Row],[Date]],2))</f>
        <v>45701</v>
      </c>
      <c r="C90" s="1" t="str">
        <f>PROPER(TRIM('Raw Data'!B90))</f>
        <v>West</v>
      </c>
      <c r="D90" s="1" t="str">
        <f>UPPER(TRIM(CLEAN(('Raw Data'!C90))))</f>
        <v>LAPTOP A15</v>
      </c>
      <c r="E90" s="10">
        <v>11</v>
      </c>
      <c r="F90" s="13">
        <v>2500000</v>
      </c>
      <c r="G90" s="1" t="str">
        <f>PROPER(TRIM('Raw Data'!H90))</f>
        <v>Fola Balogun</v>
      </c>
      <c r="H90" s="17" t="str">
        <f>PROPER(TRIM('Raw Data'!I90))</f>
        <v>Omega Wholesale</v>
      </c>
      <c r="I90" s="13">
        <f t="shared" si="1"/>
        <v>27500000</v>
      </c>
    </row>
    <row r="91" spans="1:9" x14ac:dyDescent="0.35">
      <c r="A91" s="7" t="str">
        <f>TEXT(TRIM(UPPER(CLEAN('Raw Data'!A91))),"dd/mm/yyy")</f>
        <v>09/03/2025</v>
      </c>
      <c r="B91" s="24">
        <f>DATE(RIGHT(Table2[[#This Row],[Date]],4), MID(Table2[[#This Row],[Date]],4,2), LEFT(Table2[[#This Row],[Date]],2))</f>
        <v>45725</v>
      </c>
      <c r="C91" s="1" t="str">
        <f>PROPER(TRIM('Raw Data'!B91))</f>
        <v>East</v>
      </c>
      <c r="D91" s="1" t="str">
        <f>UPPER(TRIM(CLEAN(('Raw Data'!C91))))</f>
        <v>LAPTOP A15</v>
      </c>
      <c r="E91" s="10">
        <v>20</v>
      </c>
      <c r="F91" s="13">
        <v>250000</v>
      </c>
      <c r="G91" s="1" t="str">
        <f>PROPER(TRIM('Raw Data'!H91))</f>
        <v xml:space="preserve">Ifeanyi Okafor 	</v>
      </c>
      <c r="H91" s="17" t="str">
        <f>PROPER(TRIM('Raw Data'!I91))</f>
        <v>Femi Tech</v>
      </c>
      <c r="I91" s="13">
        <f t="shared" si="1"/>
        <v>5000000</v>
      </c>
    </row>
    <row r="92" spans="1:9" x14ac:dyDescent="0.35">
      <c r="A92" s="7" t="str">
        <f>TEXT(TRIM(UPPER(CLEAN('Raw Data'!A92))),"dd/mm/yyy")</f>
        <v>20/02/2025</v>
      </c>
      <c r="B92" s="24">
        <f>DATE(RIGHT(Table2[[#This Row],[Date]],4), MID(Table2[[#This Row],[Date]],4,2), LEFT(Table2[[#This Row],[Date]],2))</f>
        <v>45708</v>
      </c>
      <c r="C92" s="1" t="str">
        <f>PROPER(TRIM('Raw Data'!B92))</f>
        <v>West</v>
      </c>
      <c r="D92" s="1" t="str">
        <f>UPPER(TRIM(CLEAN(('Raw Data'!C92))))</f>
        <v>SPEAKER S10</v>
      </c>
      <c r="E92" s="10">
        <v>7</v>
      </c>
      <c r="F92" s="13">
        <v>89233</v>
      </c>
      <c r="G92" s="1" t="str">
        <f>PROPER(TRIM('Raw Data'!H92))</f>
        <v>Fola Balogun</v>
      </c>
      <c r="H92" s="17" t="str">
        <f>PROPER(TRIM('Raw Data'!I92))</f>
        <v>Femi Tech</v>
      </c>
      <c r="I92" s="13">
        <f t="shared" si="1"/>
        <v>624631</v>
      </c>
    </row>
    <row r="93" spans="1:9" x14ac:dyDescent="0.35">
      <c r="A93" s="7" t="str">
        <f>TEXT(TRIM(UPPER(CLEAN('Raw Data'!A93))),"dd/mm/yyy")</f>
        <v>19/02/2025</v>
      </c>
      <c r="B93" s="24">
        <f>DATE(RIGHT(Table2[[#This Row],[Date]],4), MID(Table2[[#This Row],[Date]],4,2), LEFT(Table2[[#This Row],[Date]],2))</f>
        <v>45707</v>
      </c>
      <c r="C93" s="1" t="str">
        <f>PROPER(TRIM('Raw Data'!B93))</f>
        <v>East</v>
      </c>
      <c r="D93" s="1" t="str">
        <f>UPPER(TRIM(CLEAN(('Raw Data'!C93))))</f>
        <v>LAPTOP A15</v>
      </c>
      <c r="E93" s="10">
        <v>5</v>
      </c>
      <c r="F93" s="13">
        <v>250000</v>
      </c>
      <c r="G93" s="1" t="str">
        <f>PROPER(TRIM('Raw Data'!H93))</f>
        <v>Mary John</v>
      </c>
      <c r="H93" s="17" t="str">
        <f>PROPER(TRIM('Raw Data'!I93))</f>
        <v>Toep &amp; Sons</v>
      </c>
      <c r="I93" s="13">
        <f t="shared" si="1"/>
        <v>1250000</v>
      </c>
    </row>
    <row r="94" spans="1:9" x14ac:dyDescent="0.35">
      <c r="A94" s="7" t="str">
        <f>TEXT(TRIM(UPPER(CLEAN('Raw Data'!A94))),"dd/mm/yyy")</f>
        <v>10/04/2025</v>
      </c>
      <c r="B94" s="24">
        <f>DATE(RIGHT(Table2[[#This Row],[Date]],4), MID(Table2[[#This Row],[Date]],4,2), LEFT(Table2[[#This Row],[Date]],2))</f>
        <v>45757</v>
      </c>
      <c r="C94" s="1" t="str">
        <f>PROPER(TRIM('Raw Data'!B94))</f>
        <v>East</v>
      </c>
      <c r="D94" s="1" t="str">
        <f>UPPER(TRIM(CLEAN(('Raw Data'!C94))))</f>
        <v>CAMERA C100</v>
      </c>
      <c r="E94" s="10">
        <v>19</v>
      </c>
      <c r="F94" s="13">
        <v>175000</v>
      </c>
      <c r="G94" s="1" t="str">
        <f>PROPER(TRIM('Raw Data'!H94))</f>
        <v>Mary John</v>
      </c>
      <c r="H94" s="17" t="str">
        <f>PROPER(TRIM('Raw Data'!I94))</f>
        <v>Kelvin Tech</v>
      </c>
      <c r="I94" s="13">
        <f t="shared" si="1"/>
        <v>3325000</v>
      </c>
    </row>
    <row r="95" spans="1:9" x14ac:dyDescent="0.35">
      <c r="A95" s="7" t="str">
        <f>TEXT(TRIM(UPPER(CLEAN('Raw Data'!A95))),"dd/mm/yyy")</f>
        <v>21/05/2025</v>
      </c>
      <c r="B95" s="24">
        <f>DATE(RIGHT(Table2[[#This Row],[Date]],4), MID(Table2[[#This Row],[Date]],4,2), LEFT(Table2[[#This Row],[Date]],2))</f>
        <v>45798</v>
      </c>
      <c r="C95" s="1" t="str">
        <f>PROPER(TRIM('Raw Data'!B95))</f>
        <v>East</v>
      </c>
      <c r="D95" s="1" t="str">
        <f>UPPER(TRIM(CLEAN(('Raw Data'!C95))))</f>
        <v>TV 43Q</v>
      </c>
      <c r="E95" s="10">
        <v>14</v>
      </c>
      <c r="F95" s="13">
        <v>350000</v>
      </c>
      <c r="G95" s="1" t="str">
        <f>PROPER(TRIM('Raw Data'!H95))</f>
        <v>Grace Amos</v>
      </c>
      <c r="H95" s="17" t="str">
        <f>PROPER(TRIM('Raw Data'!I95))</f>
        <v>Musa Enterprises</v>
      </c>
      <c r="I95" s="13">
        <f t="shared" si="1"/>
        <v>4900000</v>
      </c>
    </row>
    <row r="96" spans="1:9" x14ac:dyDescent="0.35">
      <c r="A96" s="7" t="str">
        <f>TEXT(TRIM(UPPER(CLEAN('Raw Data'!A96))),"dd/mm/yyy")</f>
        <v>26/06/2025</v>
      </c>
      <c r="B96" s="24">
        <f>DATE(RIGHT(Table2[[#This Row],[Date]],4), MID(Table2[[#This Row],[Date]],4,2), LEFT(Table2[[#This Row],[Date]],2))</f>
        <v>45834</v>
      </c>
      <c r="C96" s="1" t="str">
        <f>PROPER(TRIM('Raw Data'!B96))</f>
        <v>East</v>
      </c>
      <c r="D96" s="1" t="str">
        <f>UPPER(TRIM(CLEAN(('Raw Data'!C96))))</f>
        <v>CAMERA C100</v>
      </c>
      <c r="E96" s="10">
        <v>20</v>
      </c>
      <c r="F96" s="13">
        <v>175000</v>
      </c>
      <c r="G96" s="1" t="str">
        <f>PROPER(TRIM('Raw Data'!H96))</f>
        <v>Mary John</v>
      </c>
      <c r="H96" s="17" t="str">
        <f>PROPER(TRIM('Raw Data'!I96))</f>
        <v>Bright Solutions</v>
      </c>
      <c r="I96" s="13">
        <f t="shared" si="1"/>
        <v>3500000</v>
      </c>
    </row>
    <row r="97" spans="1:9" x14ac:dyDescent="0.35">
      <c r="A97" s="7" t="str">
        <f>TEXT(TRIM(UPPER(CLEAN('Raw Data'!A97))),"dd/mm/yyy")</f>
        <v>20/02/2025</v>
      </c>
      <c r="B97" s="24">
        <f>DATE(RIGHT(Table2[[#This Row],[Date]],4), MID(Table2[[#This Row],[Date]],4,2), LEFT(Table2[[#This Row],[Date]],2))</f>
        <v>45708</v>
      </c>
      <c r="C97" s="1" t="str">
        <f>PROPER(TRIM('Raw Data'!B97))</f>
        <v>South</v>
      </c>
      <c r="D97" s="1" t="str">
        <f>UPPER(TRIM(CLEAN(('Raw Data'!C97))))</f>
        <v>SPEAKER S10</v>
      </c>
      <c r="E97" s="10">
        <v>18</v>
      </c>
      <c r="F97" s="13">
        <v>85000</v>
      </c>
      <c r="G97" s="1" t="str">
        <f>PROPER(TRIM('Raw Data'!H97))</f>
        <v>Peter Obi</v>
      </c>
      <c r="H97" s="17" t="str">
        <f>PROPER(TRIM('Raw Data'!I97))</f>
        <v>Tola Ventures</v>
      </c>
      <c r="I97" s="13">
        <f t="shared" si="1"/>
        <v>1530000</v>
      </c>
    </row>
    <row r="98" spans="1:9" x14ac:dyDescent="0.35">
      <c r="A98" s="7" t="str">
        <f>TEXT(TRIM(UPPER(CLEAN('Raw Data'!A98))),"dd/mm/yyy")</f>
        <v>27/06/2025</v>
      </c>
      <c r="B98" s="24">
        <f>DATE(RIGHT(Table2[[#This Row],[Date]],4), MID(Table2[[#This Row],[Date]],4,2), LEFT(Table2[[#This Row],[Date]],2))</f>
        <v>45835</v>
      </c>
      <c r="C98" s="1" t="str">
        <f>PROPER(TRIM('Raw Data'!B98))</f>
        <v>North</v>
      </c>
      <c r="D98" s="1" t="str">
        <f>UPPER(TRIM(CLEAN(('Raw Data'!C98))))</f>
        <v>CAMERA C100</v>
      </c>
      <c r="E98" s="10">
        <v>17</v>
      </c>
      <c r="F98" s="13">
        <v>175000</v>
      </c>
      <c r="G98" s="1" t="str">
        <f>PROPER(TRIM('Raw Data'!H98))</f>
        <v>Ifeanyi Okafor</v>
      </c>
      <c r="H98" s="17" t="str">
        <f>PROPER(TRIM('Raw Data'!I98))</f>
        <v>Emeka Traders</v>
      </c>
      <c r="I98" s="13">
        <f t="shared" si="1"/>
        <v>2975000</v>
      </c>
    </row>
    <row r="99" spans="1:9" x14ac:dyDescent="0.35">
      <c r="A99" s="7" t="str">
        <f>TEXT(TRIM(UPPER(CLEAN('Raw Data'!A99))),"dd/mm/yyy")</f>
        <v>05/02/2025</v>
      </c>
      <c r="B99" s="24">
        <f>DATE(RIGHT(Table2[[#This Row],[Date]],4), MID(Table2[[#This Row],[Date]],4,2), LEFT(Table2[[#This Row],[Date]],2))</f>
        <v>45693</v>
      </c>
      <c r="C99" s="1" t="str">
        <f>PROPER(TRIM('Raw Data'!B99))</f>
        <v>South</v>
      </c>
      <c r="D99" s="1" t="str">
        <f>UPPER(TRIM(CLEAN(('Raw Data'!C99))))</f>
        <v>LAPTOP A15</v>
      </c>
      <c r="E99" s="10">
        <v>20</v>
      </c>
      <c r="F99" s="13">
        <v>250000</v>
      </c>
      <c r="G99" s="1" t="str">
        <f>PROPER(TRIM('Raw Data'!H99))</f>
        <v>Fola Balogun</v>
      </c>
      <c r="H99" s="17" t="str">
        <f>PROPER(TRIM('Raw Data'!I99))</f>
        <v>Musa Enterprises</v>
      </c>
      <c r="I99" s="13">
        <f t="shared" si="1"/>
        <v>5000000</v>
      </c>
    </row>
    <row r="100" spans="1:9" x14ac:dyDescent="0.35">
      <c r="A100" s="7" t="str">
        <f>TEXT(TRIM(UPPER(CLEAN('Raw Data'!A100))),"dd/mm/yyy")</f>
        <v>07/06/2025</v>
      </c>
      <c r="B100" s="24">
        <f>DATE(RIGHT(Table2[[#This Row],[Date]],4), MID(Table2[[#This Row],[Date]],4,2), LEFT(Table2[[#This Row],[Date]],2))</f>
        <v>45815</v>
      </c>
      <c r="C100" s="1" t="str">
        <f>PROPER(TRIM('Raw Data'!B100))</f>
        <v>South</v>
      </c>
      <c r="D100" s="1" t="str">
        <f>UPPER(TRIM(CLEAN(('Raw Data'!C100))))</f>
        <v>TV 43Q</v>
      </c>
      <c r="E100" s="10">
        <v>20</v>
      </c>
      <c r="F100" s="13">
        <v>350000</v>
      </c>
      <c r="G100" s="1" t="str">
        <f>PROPER(TRIM('Raw Data'!H100))</f>
        <v>Peter Obi</v>
      </c>
      <c r="H100" s="17" t="str">
        <f>PROPER(TRIM('Raw Data'!I100))</f>
        <v>Femi Tech</v>
      </c>
      <c r="I100" s="13">
        <f t="shared" si="1"/>
        <v>7000000</v>
      </c>
    </row>
    <row r="101" spans="1:9" x14ac:dyDescent="0.35">
      <c r="A101" s="7" t="str">
        <f>TEXT(TRIM(UPPER(CLEAN('Raw Data'!A101))),"dd/mm/yyy")</f>
        <v>13/05/2025</v>
      </c>
      <c r="B101" s="24">
        <f>DATE(RIGHT(Table2[[#This Row],[Date]],4), MID(Table2[[#This Row],[Date]],4,2), LEFT(Table2[[#This Row],[Date]],2))</f>
        <v>45790</v>
      </c>
      <c r="C101" s="1" t="str">
        <f>PROPER(TRIM('Raw Data'!B101))</f>
        <v>West</v>
      </c>
      <c r="D101" s="1" t="str">
        <f>UPPER(TRIM(CLEAN(('Raw Data'!C101))))</f>
        <v>TABLET T8</v>
      </c>
      <c r="E101" s="10">
        <v>18</v>
      </c>
      <c r="F101" s="13">
        <v>150000</v>
      </c>
      <c r="G101" s="1" t="str">
        <f>PROPER(TRIM('Raw Data'!H101))</f>
        <v xml:space="preserve">Grace Amos	</v>
      </c>
      <c r="H101" s="17" t="str">
        <f>PROPER(TRIM('Raw Data'!I101))</f>
        <v>Alpha Retailers</v>
      </c>
      <c r="I101" s="13">
        <f t="shared" si="1"/>
        <v>2700000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1DF4-C352-418D-96CA-6A110D1098B6}">
  <dimension ref="A1:H62"/>
  <sheetViews>
    <sheetView topLeftCell="A15" zoomScale="98" zoomScaleNormal="98" workbookViewId="0">
      <selection activeCell="G35" sqref="G35"/>
    </sheetView>
  </sheetViews>
  <sheetFormatPr defaultRowHeight="14.5" x14ac:dyDescent="0.35"/>
  <cols>
    <col min="1" max="1" width="20.54296875" bestFit="1" customWidth="1"/>
    <col min="2" max="2" width="17" bestFit="1" customWidth="1"/>
    <col min="3" max="3" width="18.1796875" bestFit="1" customWidth="1"/>
    <col min="4" max="4" width="13.7265625" bestFit="1" customWidth="1"/>
    <col min="5" max="5" width="15.81640625" bestFit="1" customWidth="1"/>
    <col min="6" max="6" width="16.453125" bestFit="1" customWidth="1"/>
    <col min="7" max="7" width="20" bestFit="1" customWidth="1"/>
    <col min="8" max="8" width="13.26953125" bestFit="1" customWidth="1"/>
    <col min="9" max="80" width="10.7265625" bestFit="1" customWidth="1"/>
  </cols>
  <sheetData>
    <row r="1" spans="1:7" ht="33.5" x14ac:dyDescent="0.75">
      <c r="A1" s="15" t="s">
        <v>422</v>
      </c>
    </row>
    <row r="3" spans="1:7" x14ac:dyDescent="0.35">
      <c r="A3" t="s">
        <v>478</v>
      </c>
      <c r="C3" t="s">
        <v>425</v>
      </c>
      <c r="E3" t="s">
        <v>427</v>
      </c>
      <c r="G3" t="s">
        <v>428</v>
      </c>
    </row>
    <row r="4" spans="1:7" x14ac:dyDescent="0.35">
      <c r="A4" s="18">
        <v>302680445</v>
      </c>
      <c r="C4" s="31">
        <v>1141</v>
      </c>
      <c r="E4">
        <v>100</v>
      </c>
      <c r="G4" s="21">
        <v>248238.47</v>
      </c>
    </row>
    <row r="6" spans="1:7" ht="26" x14ac:dyDescent="0.6">
      <c r="A6" s="22" t="s">
        <v>429</v>
      </c>
    </row>
    <row r="7" spans="1:7" ht="21" x14ac:dyDescent="0.5">
      <c r="A7" s="23" t="s">
        <v>430</v>
      </c>
      <c r="D7" s="23" t="s">
        <v>431</v>
      </c>
    </row>
    <row r="8" spans="1:7" x14ac:dyDescent="0.35">
      <c r="A8" s="19" t="s">
        <v>426</v>
      </c>
      <c r="B8" t="s">
        <v>424</v>
      </c>
      <c r="C8" t="s">
        <v>476</v>
      </c>
      <c r="D8" s="19" t="s">
        <v>426</v>
      </c>
      <c r="E8" t="s">
        <v>425</v>
      </c>
      <c r="F8" t="s">
        <v>477</v>
      </c>
    </row>
    <row r="9" spans="1:7" x14ac:dyDescent="0.35">
      <c r="A9" s="20" t="s">
        <v>51</v>
      </c>
      <c r="B9" s="18">
        <v>115542487</v>
      </c>
      <c r="C9" s="18">
        <v>115542487</v>
      </c>
      <c r="D9" s="20" t="s">
        <v>87</v>
      </c>
      <c r="E9">
        <v>430</v>
      </c>
      <c r="F9">
        <v>430</v>
      </c>
    </row>
    <row r="10" spans="1:7" x14ac:dyDescent="0.35">
      <c r="A10" s="20" t="s">
        <v>87</v>
      </c>
      <c r="B10" s="18">
        <v>79518498</v>
      </c>
      <c r="C10" s="18">
        <v>79518498</v>
      </c>
      <c r="D10" s="20" t="s">
        <v>62</v>
      </c>
      <c r="E10">
        <v>196</v>
      </c>
      <c r="F10">
        <v>196</v>
      </c>
    </row>
    <row r="11" spans="1:7" x14ac:dyDescent="0.35">
      <c r="A11" s="20" t="s">
        <v>8</v>
      </c>
      <c r="B11" s="18">
        <v>68129460</v>
      </c>
      <c r="C11" s="18">
        <v>68129460</v>
      </c>
      <c r="D11" s="20" t="s">
        <v>8</v>
      </c>
      <c r="E11">
        <v>292</v>
      </c>
      <c r="F11">
        <v>292</v>
      </c>
    </row>
    <row r="12" spans="1:7" x14ac:dyDescent="0.35">
      <c r="A12" s="20" t="s">
        <v>62</v>
      </c>
      <c r="B12" s="18">
        <v>39490000</v>
      </c>
      <c r="C12" s="18">
        <v>39490000</v>
      </c>
      <c r="D12" s="20" t="s">
        <v>51</v>
      </c>
      <c r="E12">
        <v>223</v>
      </c>
      <c r="F12">
        <v>223</v>
      </c>
    </row>
    <row r="18" spans="1:5" ht="26" x14ac:dyDescent="0.6">
      <c r="A18" s="22" t="s">
        <v>432</v>
      </c>
    </row>
    <row r="19" spans="1:5" ht="21" x14ac:dyDescent="0.5">
      <c r="A19" s="23" t="s">
        <v>433</v>
      </c>
      <c r="D19" s="23" t="s">
        <v>438</v>
      </c>
    </row>
    <row r="20" spans="1:5" x14ac:dyDescent="0.35">
      <c r="A20" s="19" t="s">
        <v>426</v>
      </c>
      <c r="B20" t="s">
        <v>424</v>
      </c>
      <c r="D20" s="19" t="s">
        <v>426</v>
      </c>
      <c r="E20" t="s">
        <v>425</v>
      </c>
    </row>
    <row r="21" spans="1:5" x14ac:dyDescent="0.35">
      <c r="A21" s="20" t="s">
        <v>437</v>
      </c>
      <c r="B21" s="18">
        <v>1750000</v>
      </c>
      <c r="D21" s="20" t="s">
        <v>196</v>
      </c>
      <c r="E21" s="32">
        <v>191</v>
      </c>
    </row>
    <row r="22" spans="1:5" x14ac:dyDescent="0.35">
      <c r="A22" s="20" t="s">
        <v>434</v>
      </c>
      <c r="B22" s="18">
        <v>2100000</v>
      </c>
      <c r="D22" s="20" t="s">
        <v>435</v>
      </c>
      <c r="E22" s="32">
        <v>166</v>
      </c>
    </row>
    <row r="23" spans="1:5" x14ac:dyDescent="0.35">
      <c r="A23" s="20" t="s">
        <v>177</v>
      </c>
      <c r="B23" s="18">
        <v>21700000</v>
      </c>
      <c r="D23" s="20" t="s">
        <v>153</v>
      </c>
      <c r="E23" s="32">
        <v>226</v>
      </c>
    </row>
    <row r="24" spans="1:5" x14ac:dyDescent="0.35">
      <c r="A24" s="20" t="s">
        <v>196</v>
      </c>
      <c r="B24" s="18">
        <v>134375000</v>
      </c>
      <c r="D24" s="20" t="s">
        <v>265</v>
      </c>
      <c r="E24" s="32">
        <v>215</v>
      </c>
    </row>
    <row r="25" spans="1:5" x14ac:dyDescent="0.35">
      <c r="A25" s="20" t="s">
        <v>435</v>
      </c>
      <c r="B25" s="18">
        <v>21230201</v>
      </c>
    </row>
    <row r="26" spans="1:5" x14ac:dyDescent="0.35">
      <c r="A26" s="20" t="s">
        <v>18</v>
      </c>
      <c r="B26" s="18">
        <v>14331113</v>
      </c>
    </row>
    <row r="27" spans="1:5" x14ac:dyDescent="0.35">
      <c r="A27" s="20" t="s">
        <v>328</v>
      </c>
      <c r="B27" s="18">
        <v>8954631</v>
      </c>
    </row>
    <row r="28" spans="1:5" x14ac:dyDescent="0.35">
      <c r="A28" s="20" t="s">
        <v>153</v>
      </c>
      <c r="B28" s="18">
        <v>33900000</v>
      </c>
    </row>
    <row r="29" spans="1:5" x14ac:dyDescent="0.35">
      <c r="A29" s="20" t="s">
        <v>265</v>
      </c>
      <c r="B29" s="18">
        <v>63689500</v>
      </c>
    </row>
    <row r="30" spans="1:5" x14ac:dyDescent="0.35">
      <c r="A30" s="20" t="s">
        <v>436</v>
      </c>
      <c r="B30" s="18">
        <v>650000</v>
      </c>
    </row>
    <row r="37" spans="1:8" ht="28.5" x14ac:dyDescent="0.65">
      <c r="A37" s="22" t="s">
        <v>439</v>
      </c>
      <c r="D37" s="25" t="s">
        <v>456</v>
      </c>
    </row>
    <row r="38" spans="1:8" ht="21" x14ac:dyDescent="0.5">
      <c r="A38" s="23" t="s">
        <v>440</v>
      </c>
      <c r="D38" s="23" t="s">
        <v>457</v>
      </c>
      <c r="G38" s="23" t="s">
        <v>467</v>
      </c>
    </row>
    <row r="39" spans="1:8" x14ac:dyDescent="0.35">
      <c r="A39" s="19" t="s">
        <v>426</v>
      </c>
      <c r="B39" t="s">
        <v>424</v>
      </c>
      <c r="D39" s="19" t="s">
        <v>426</v>
      </c>
      <c r="E39" t="s">
        <v>424</v>
      </c>
      <c r="G39" s="19" t="s">
        <v>426</v>
      </c>
      <c r="H39" t="s">
        <v>468</v>
      </c>
    </row>
    <row r="40" spans="1:8" x14ac:dyDescent="0.35">
      <c r="A40" s="20" t="s">
        <v>448</v>
      </c>
      <c r="B40" s="18">
        <v>57202856</v>
      </c>
      <c r="D40" s="20" t="s">
        <v>65</v>
      </c>
      <c r="E40" s="18">
        <v>89559500</v>
      </c>
      <c r="G40" s="20" t="s">
        <v>232</v>
      </c>
      <c r="H40">
        <v>13</v>
      </c>
    </row>
    <row r="41" spans="1:8" x14ac:dyDescent="0.35">
      <c r="A41" s="20" t="s">
        <v>443</v>
      </c>
      <c r="B41" s="18">
        <v>124284591</v>
      </c>
      <c r="D41" s="20" t="s">
        <v>459</v>
      </c>
      <c r="E41" s="18">
        <v>31715000</v>
      </c>
      <c r="G41" s="20" t="s">
        <v>17</v>
      </c>
      <c r="H41">
        <v>11</v>
      </c>
    </row>
    <row r="42" spans="1:8" x14ac:dyDescent="0.35">
      <c r="A42" s="20" t="s">
        <v>447</v>
      </c>
      <c r="B42" s="18">
        <v>18545000</v>
      </c>
      <c r="D42" s="20" t="s">
        <v>232</v>
      </c>
      <c r="E42" s="18">
        <v>31117487</v>
      </c>
      <c r="G42" s="20" t="s">
        <v>65</v>
      </c>
      <c r="H42">
        <v>9</v>
      </c>
    </row>
    <row r="43" spans="1:8" x14ac:dyDescent="0.35">
      <c r="A43" s="20" t="s">
        <v>444</v>
      </c>
      <c r="B43" s="18">
        <v>24620000</v>
      </c>
      <c r="D43" s="20" t="s">
        <v>17</v>
      </c>
      <c r="E43" s="18">
        <v>27191113</v>
      </c>
      <c r="G43" s="20" t="s">
        <v>459</v>
      </c>
      <c r="H43">
        <v>8</v>
      </c>
    </row>
    <row r="44" spans="1:8" x14ac:dyDescent="0.35">
      <c r="A44" s="20" t="s">
        <v>446</v>
      </c>
      <c r="B44" s="18">
        <v>31856113</v>
      </c>
      <c r="D44" s="20" t="s">
        <v>461</v>
      </c>
      <c r="E44" s="18">
        <v>23270000</v>
      </c>
      <c r="G44" s="20" t="s">
        <v>293</v>
      </c>
      <c r="H44">
        <v>8</v>
      </c>
    </row>
    <row r="45" spans="1:8" x14ac:dyDescent="0.35">
      <c r="A45" s="20" t="s">
        <v>445</v>
      </c>
      <c r="B45" s="18">
        <v>46171885</v>
      </c>
      <c r="G45" s="20" t="s">
        <v>462</v>
      </c>
      <c r="H45">
        <v>7</v>
      </c>
    </row>
    <row r="46" spans="1:8" x14ac:dyDescent="0.35">
      <c r="G46" s="20" t="s">
        <v>460</v>
      </c>
      <c r="H46">
        <v>7</v>
      </c>
    </row>
    <row r="47" spans="1:8" ht="26" x14ac:dyDescent="0.6">
      <c r="A47" s="22" t="s">
        <v>449</v>
      </c>
      <c r="G47" s="20" t="s">
        <v>461</v>
      </c>
      <c r="H47">
        <v>6</v>
      </c>
    </row>
    <row r="48" spans="1:8" ht="21" x14ac:dyDescent="0.5">
      <c r="A48" s="23" t="s">
        <v>450</v>
      </c>
      <c r="G48" s="20" t="s">
        <v>54</v>
      </c>
      <c r="H48">
        <v>6</v>
      </c>
    </row>
    <row r="49" spans="1:8" x14ac:dyDescent="0.35">
      <c r="A49" s="19" t="s">
        <v>426</v>
      </c>
      <c r="B49" t="s">
        <v>424</v>
      </c>
      <c r="G49" s="20" t="s">
        <v>117</v>
      </c>
      <c r="H49">
        <v>6</v>
      </c>
    </row>
    <row r="50" spans="1:8" x14ac:dyDescent="0.35">
      <c r="A50" s="20" t="s">
        <v>158</v>
      </c>
      <c r="B50" s="18">
        <v>87790000</v>
      </c>
      <c r="G50" s="20" t="s">
        <v>464</v>
      </c>
      <c r="H50">
        <v>5</v>
      </c>
    </row>
    <row r="51" spans="1:8" x14ac:dyDescent="0.35">
      <c r="A51" s="20" t="s">
        <v>277</v>
      </c>
      <c r="B51" s="18">
        <v>58707487</v>
      </c>
      <c r="G51" s="20" t="s">
        <v>466</v>
      </c>
      <c r="H51">
        <v>4</v>
      </c>
    </row>
    <row r="52" spans="1:8" x14ac:dyDescent="0.35">
      <c r="A52" s="20" t="s">
        <v>451</v>
      </c>
      <c r="B52" s="18">
        <v>39910000</v>
      </c>
      <c r="G52" s="20" t="s">
        <v>465</v>
      </c>
      <c r="H52">
        <v>4</v>
      </c>
    </row>
    <row r="53" spans="1:8" x14ac:dyDescent="0.35">
      <c r="A53" s="20" t="s">
        <v>104</v>
      </c>
      <c r="B53" s="18">
        <v>36226885</v>
      </c>
      <c r="G53" s="20" t="s">
        <v>458</v>
      </c>
      <c r="H53">
        <v>3</v>
      </c>
    </row>
    <row r="54" spans="1:8" x14ac:dyDescent="0.35">
      <c r="A54" s="20" t="s">
        <v>453</v>
      </c>
      <c r="B54" s="18">
        <v>23986113</v>
      </c>
      <c r="G54" s="20" t="s">
        <v>472</v>
      </c>
      <c r="H54">
        <v>1</v>
      </c>
    </row>
    <row r="55" spans="1:8" x14ac:dyDescent="0.35">
      <c r="A55" s="20" t="s">
        <v>371</v>
      </c>
      <c r="B55" s="18">
        <v>20469960</v>
      </c>
      <c r="G55" s="20" t="s">
        <v>473</v>
      </c>
      <c r="H55">
        <v>1</v>
      </c>
    </row>
    <row r="56" spans="1:8" x14ac:dyDescent="0.35">
      <c r="A56" s="20" t="s">
        <v>64</v>
      </c>
      <c r="B56" s="18">
        <v>18690000</v>
      </c>
      <c r="G56" s="20" t="s">
        <v>463</v>
      </c>
      <c r="H56">
        <v>1</v>
      </c>
    </row>
    <row r="57" spans="1:8" x14ac:dyDescent="0.35">
      <c r="A57" s="20" t="s">
        <v>401</v>
      </c>
      <c r="B57" s="18">
        <v>5250000</v>
      </c>
    </row>
    <row r="58" spans="1:8" x14ac:dyDescent="0.35">
      <c r="A58" s="20" t="s">
        <v>454</v>
      </c>
      <c r="B58" s="18">
        <v>5000000</v>
      </c>
    </row>
    <row r="59" spans="1:8" x14ac:dyDescent="0.35">
      <c r="A59" s="20" t="s">
        <v>399</v>
      </c>
      <c r="B59" s="18">
        <v>2850000</v>
      </c>
    </row>
    <row r="60" spans="1:8" x14ac:dyDescent="0.35">
      <c r="A60" s="20" t="s">
        <v>452</v>
      </c>
      <c r="B60" s="18">
        <v>2700000</v>
      </c>
    </row>
    <row r="61" spans="1:8" x14ac:dyDescent="0.35">
      <c r="A61" s="20" t="s">
        <v>400</v>
      </c>
      <c r="B61" s="18">
        <v>650000</v>
      </c>
    </row>
    <row r="62" spans="1:8" x14ac:dyDescent="0.35">
      <c r="A62" s="20" t="s">
        <v>455</v>
      </c>
      <c r="B62" s="21">
        <v>450000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F481-680F-44B0-B042-DEDBC14E4F02}">
  <dimension ref="A1"/>
  <sheetViews>
    <sheetView showGridLines="0" showRowColHeaders="0" topLeftCell="AW12" zoomScale="69" zoomScaleNormal="69" workbookViewId="0">
      <selection activeCell="BX28" sqref="BX28"/>
    </sheetView>
  </sheetViews>
  <sheetFormatPr defaultColWidth="9.1796875" defaultRowHeight="14.5" x14ac:dyDescent="0.35"/>
  <cols>
    <col min="1" max="16384" width="9.1796875" style="30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4CF-0419-493A-9841-7466C74EE4BC}">
  <dimension ref="A1"/>
  <sheetViews>
    <sheetView showGridLines="0"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DF408-6739-414D-BA3D-F1FABD94D2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Cover</vt:lpstr>
      <vt:lpstr>Raw Data</vt:lpstr>
      <vt:lpstr>Data Cleaning</vt:lpstr>
      <vt:lpstr>Calculations</vt:lpstr>
      <vt:lpstr>Dashbord</vt:lpstr>
      <vt:lpstr>Sheet1</vt:lpstr>
      <vt:lpstr>avgunitp</vt:lpstr>
      <vt:lpstr>totalsales</vt:lpstr>
      <vt:lpstr>transaction</vt:lpstr>
      <vt:lpstr>unitssold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H.</dc:creator>
  <cp:keywords>Personal</cp:keywords>
  <cp:lastModifiedBy>rofiat adebayo</cp:lastModifiedBy>
  <dcterms:created xsi:type="dcterms:W3CDTF">2025-10-20T20:05:08Z</dcterms:created>
  <dcterms:modified xsi:type="dcterms:W3CDTF">2026-01-15T01:07:56Z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2025-10-28T17:00:44Z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e850a7d0-6f71-4a59-8f31-fc421635ba4f</vt:lpwstr>
  </property>
  <property fmtid="{D5CDD505-2E9C-101B-9397-08002B2CF9AE}" pid="7" name="MSIP_Label_defa4170-0d19-0005-0004-bc88714345d2_ActionId">
    <vt:lpwstr>a905a4e3-0ba4-43da-99e7-ede8b93906d5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